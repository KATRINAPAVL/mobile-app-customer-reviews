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'Reviews'!$A$1:$K$204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4"/>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8" customWidth="1" min="3" max="3"/>
    <col width="40" customWidth="1" min="4" max="4"/>
    <col width="70" customWidth="1" min="5" max="5"/>
    <col width="22" customWidth="1" min="6" max="6"/>
    <col width="12" customWidth="1" min="7" max="7"/>
    <col width="22" customWidth="1" min="8" max="8"/>
    <col width="14" customWidth="1" min="9" max="9"/>
    <col width="40" customWidth="1" min="10" max="10"/>
    <col width="6" customWidth="1" min="11" max="11"/>
  </cols>
  <sheetData>
    <row r="1">
      <c r="A1" s="1" t="inlineStr">
        <is>
          <t>Country</t>
        </is>
      </c>
      <c r="B1" s="1" t="inlineStr">
        <is>
          <t>Country code</t>
        </is>
      </c>
      <c r="C1" s="1" t="inlineStr">
        <is>
          <t>Rating</t>
        </is>
      </c>
      <c r="D1" s="1" t="inlineStr">
        <is>
          <t>Title</t>
        </is>
      </c>
      <c r="E1" s="1" t="inlineStr">
        <is>
          <t>Content</t>
        </is>
      </c>
      <c r="F1" s="1" t="inlineStr">
        <is>
          <t>Author</t>
        </is>
      </c>
      <c r="G1" s="1" t="inlineStr">
        <is>
          <t>App version</t>
        </is>
      </c>
      <c r="H1" s="1" t="inlineStr">
        <is>
          <t>Updated (UTC)</t>
        </is>
      </c>
      <c r="I1" s="1" t="inlineStr">
        <is>
          <t>Review ID</t>
        </is>
      </c>
      <c r="J1" s="1" t="inlineStr">
        <is>
          <t>Author URI</t>
        </is>
      </c>
      <c r="K1" s="1" t="inlineStr">
        <is>
          <t>Page</t>
        </is>
      </c>
    </row>
    <row r="2">
      <c r="A2" s="2" t="inlineStr">
        <is>
          <t>Estonia</t>
        </is>
      </c>
      <c r="B2" s="2" t="inlineStr">
        <is>
          <t>ee</t>
        </is>
      </c>
      <c r="C2" s="2" t="n">
        <v>5</v>
      </c>
      <c r="D2" s="3" t="inlineStr">
        <is>
          <t>Замечательный</t>
        </is>
      </c>
      <c r="E2" s="3" t="inlineStr">
        <is>
          <t>Я в этом банке, как клиент, совсем недолго. Но с первых дней я в него влюблена. Такого подхода к клиентам я не встречала . Я счастлива, что выбрала именно этот банк.</t>
        </is>
      </c>
      <c r="F2" s="2" t="inlineStr">
        <is>
          <t>Grentoma</t>
        </is>
      </c>
      <c r="G2" s="2" t="inlineStr">
        <is>
          <t>46.6</t>
        </is>
      </c>
      <c r="H2" s="2" t="inlineStr">
        <is>
          <t>2026-10-17T00:16:59-07:00</t>
        </is>
      </c>
      <c r="I2" s="2" t="inlineStr">
        <is>
          <t>14676445321</t>
        </is>
      </c>
      <c r="J2" s="2" t="inlineStr">
        <is>
          <t>https://itunes.apple.com/ee/reviews/id1980568219</t>
        </is>
      </c>
      <c r="K2" s="2" t="n">
        <v>1</v>
      </c>
    </row>
    <row r="3">
      <c r="A3" s="2" t="inlineStr">
        <is>
          <t>Estonia</t>
        </is>
      </c>
      <c r="B3" s="2" t="inlineStr">
        <is>
          <t>ee</t>
        </is>
      </c>
      <c r="C3" s="2" t="n">
        <v>5</v>
      </c>
      <c r="D3" s="3" t="inlineStr">
        <is>
          <t>Kiire teenus</t>
        </is>
      </c>
      <c r="E3" s="3" t="inlineStr">
        <is>
          <t>Pangateenus super kiire . Tänud</t>
        </is>
      </c>
      <c r="F3" s="2" t="inlineStr">
        <is>
          <t>racky88</t>
        </is>
      </c>
      <c r="G3" s="2" t="inlineStr">
        <is>
          <t>45.7</t>
        </is>
      </c>
      <c r="H3" s="2" t="inlineStr">
        <is>
          <t>2026-01-06T07:00:12-07:00</t>
        </is>
      </c>
      <c r="I3" s="2" t="inlineStr">
        <is>
          <t>13601787565</t>
        </is>
      </c>
      <c r="J3" s="2" t="inlineStr">
        <is>
          <t>https://itunes.apple.com/ee/reviews/id104106069</t>
        </is>
      </c>
      <c r="K3" s="2" t="n">
        <v>1</v>
      </c>
    </row>
    <row r="4">
      <c r="A4" s="2" t="inlineStr">
        <is>
          <t>Estonia</t>
        </is>
      </c>
      <c r="B4" s="2" t="inlineStr">
        <is>
          <t>ee</t>
        </is>
      </c>
      <c r="C4" s="2" t="n">
        <v>5</v>
      </c>
      <c r="D4" s="3" t="inlineStr">
        <is>
          <t>iPad</t>
        </is>
      </c>
      <c r="E4" s="3" t="inlineStr">
        <is>
          <t>Need upgrade app for using iPad</t>
        </is>
      </c>
      <c r="F4" s="2" t="inlineStr">
        <is>
          <t>Sv&amp;K</t>
        </is>
      </c>
      <c r="G4" s="2" t="inlineStr">
        <is>
          <t>45.5</t>
        </is>
      </c>
      <c r="H4" s="2" t="inlineStr">
        <is>
          <t>2025-10-15T09:11:09-07:00</t>
        </is>
      </c>
      <c r="I4" s="2" t="inlineStr">
        <is>
          <t>13270224863</t>
        </is>
      </c>
      <c r="J4" s="2" t="inlineStr">
        <is>
          <t>https://itunes.apple.com/ee/reviews/id1302771618</t>
        </is>
      </c>
      <c r="K4" s="2" t="n">
        <v>1</v>
      </c>
    </row>
    <row r="5">
      <c r="A5" s="2" t="inlineStr">
        <is>
          <t>Estonia</t>
        </is>
      </c>
      <c r="B5" s="2" t="inlineStr">
        <is>
          <t>ee</t>
        </is>
      </c>
      <c r="C5" s="2" t="n">
        <v>1</v>
      </c>
      <c r="D5" s="3" t="inlineStr">
        <is>
          <t>Sup</t>
        </is>
      </c>
      <c r="E5" s="3" t="inlineStr">
        <is>
          <t>They ask for mic and screen recording and wont allow without it which is sketchy</t>
        </is>
      </c>
      <c r="F5" s="2" t="inlineStr">
        <is>
          <t>ints7298</t>
        </is>
      </c>
      <c r="G5" s="2" t="inlineStr">
        <is>
          <t>45.5</t>
        </is>
      </c>
      <c r="H5" s="2" t="inlineStr">
        <is>
          <t>2025-10-08T02:37:15-07:00</t>
        </is>
      </c>
      <c r="I5" s="2" t="inlineStr">
        <is>
          <t>13239167735</t>
        </is>
      </c>
      <c r="J5" s="2" t="inlineStr">
        <is>
          <t>https://itunes.apple.com/ee/reviews/id1221150806</t>
        </is>
      </c>
      <c r="K5" s="2" t="n">
        <v>1</v>
      </c>
    </row>
    <row r="6">
      <c r="A6" s="2" t="inlineStr">
        <is>
          <t>Estonia</t>
        </is>
      </c>
      <c r="B6" s="2" t="inlineStr">
        <is>
          <t>ee</t>
        </is>
      </c>
      <c r="C6" s="2" t="n">
        <v>1</v>
      </c>
      <c r="D6" s="3" t="inlineStr">
        <is>
          <t>Confusing</t>
        </is>
      </c>
      <c r="E6" s="3" t="inlineStr">
        <is>
          <t>MobileSCAN doesn’t work and the whole authenticaton process is very confusing. No Smart-ID either.</t>
        </is>
      </c>
      <c r="F6" s="2" t="inlineStr">
        <is>
          <t>r47693</t>
        </is>
      </c>
      <c r="G6" s="2" t="inlineStr">
        <is>
          <t>45.3</t>
        </is>
      </c>
      <c r="H6" s="2" t="inlineStr">
        <is>
          <t>2025-09-12T02:33:53-07:00</t>
        </is>
      </c>
      <c r="I6" s="2" t="inlineStr">
        <is>
          <t>13127762461</t>
        </is>
      </c>
      <c r="J6" s="2" t="inlineStr">
        <is>
          <t>https://itunes.apple.com/ee/reviews/id122905050</t>
        </is>
      </c>
      <c r="K6" s="2" t="n">
        <v>1</v>
      </c>
    </row>
    <row r="7">
      <c r="A7" s="2" t="inlineStr">
        <is>
          <t>Estonia</t>
        </is>
      </c>
      <c r="B7" s="2" t="inlineStr">
        <is>
          <t>ee</t>
        </is>
      </c>
      <c r="C7" s="2" t="n">
        <v>1</v>
      </c>
      <c r="D7" s="3" t="inlineStr">
        <is>
          <t>Elmars</t>
        </is>
      </c>
      <c r="E7" s="3" t="inlineStr">
        <is>
          <t>Very hard to change profile and lot of standard things missing</t>
        </is>
      </c>
      <c r="F7" s="2" t="inlineStr">
        <is>
          <t>Karumatti</t>
        </is>
      </c>
      <c r="G7" s="2" t="inlineStr">
        <is>
          <t>44.2</t>
        </is>
      </c>
      <c r="H7" s="2" t="inlineStr">
        <is>
          <t>2025-01-29T00:47:34-07:00</t>
        </is>
      </c>
      <c r="I7" s="2" t="inlineStr">
        <is>
          <t>12244130900</t>
        </is>
      </c>
      <c r="J7" s="2" t="inlineStr">
        <is>
          <t>https://itunes.apple.com/ee/reviews/id200801155</t>
        </is>
      </c>
      <c r="K7" s="2" t="n">
        <v>1</v>
      </c>
    </row>
    <row r="8">
      <c r="A8" s="2" t="inlineStr">
        <is>
          <t>Estonia</t>
        </is>
      </c>
      <c r="B8" s="2" t="inlineStr">
        <is>
          <t>ee</t>
        </is>
      </c>
      <c r="C8" s="2" t="n">
        <v>1</v>
      </c>
      <c r="D8" s="3" t="inlineStr">
        <is>
          <t>Broken login</t>
        </is>
      </c>
      <c r="E8" s="3" t="inlineStr">
        <is>
          <t>Content on login screen is wrong. Save toggle works and hide toggle.
Automatic login with Face ID is not working. Have to log in manually every time. Code entering for login results in error.
The app was horrible, then it was working for a while, and now it is terrible.
Do you not try out your app before releasing?</t>
        </is>
      </c>
      <c r="F8" s="2" t="inlineStr">
        <is>
          <t>irdaks</t>
        </is>
      </c>
      <c r="G8" s="2" t="inlineStr">
        <is>
          <t>12.44</t>
        </is>
      </c>
      <c r="H8" s="2" t="inlineStr">
        <is>
          <t>2022-02-28T01:39:00-07:00</t>
        </is>
      </c>
      <c r="I8" s="2" t="inlineStr">
        <is>
          <t>8404883771</t>
        </is>
      </c>
      <c r="J8" s="2" t="inlineStr">
        <is>
          <t>https://itunes.apple.com/ee/reviews/id654309525</t>
        </is>
      </c>
      <c r="K8" s="2" t="n">
        <v>1</v>
      </c>
    </row>
    <row r="9">
      <c r="A9" s="2" t="inlineStr">
        <is>
          <t>Lithuania</t>
        </is>
      </c>
      <c r="B9" s="2" t="inlineStr">
        <is>
          <t>lt</t>
        </is>
      </c>
      <c r="C9" s="2" t="n">
        <v>4</v>
      </c>
      <c r="D9" s="3" t="inlineStr">
        <is>
          <t>Подключение</t>
        </is>
      </c>
      <c r="E9" s="3" t="inlineStr">
        <is>
          <t>Для подключения нет Smart- idI, это неудобно.</t>
        </is>
      </c>
      <c r="F9" s="2" t="inlineStr">
        <is>
          <t>wplaton</t>
        </is>
      </c>
      <c r="G9" s="2" t="inlineStr">
        <is>
          <t>46.6</t>
        </is>
      </c>
      <c r="H9" s="2" t="inlineStr">
        <is>
          <t>2026-09-13T23:54:53-07:00</t>
        </is>
      </c>
      <c r="I9" s="2" t="inlineStr">
        <is>
          <t>14547932569</t>
        </is>
      </c>
      <c r="J9" s="2" t="inlineStr">
        <is>
          <t>https://itunes.apple.com/lt/reviews/id239465837</t>
        </is>
      </c>
      <c r="K9" s="2" t="n">
        <v>1</v>
      </c>
    </row>
    <row r="10">
      <c r="A10" s="2" t="inlineStr">
        <is>
          <t>Lithuania</t>
        </is>
      </c>
      <c r="B10" s="2" t="inlineStr">
        <is>
          <t>lt</t>
        </is>
      </c>
      <c r="C10" s="2" t="n">
        <v>5</v>
      </c>
      <c r="D10" s="3" t="inlineStr">
        <is>
          <t>Paieška bloga</t>
        </is>
      </c>
      <c r="E10" s="3" t="inlineStr">
        <is>
          <t>Galėtų būti geresnė paieška pavedimuose, tiesiog įvedus gavėjo pavadinimą be datų kaip Swedbank'e</t>
        </is>
      </c>
      <c r="F10" s="2" t="inlineStr">
        <is>
          <t>vygoss</t>
        </is>
      </c>
      <c r="G10" s="2" t="inlineStr">
        <is>
          <t>46.4</t>
        </is>
      </c>
      <c r="H10" s="2" t="inlineStr">
        <is>
          <t>2026-08-04T15:14:48-07:00</t>
        </is>
      </c>
      <c r="I10" s="2" t="inlineStr">
        <is>
          <t>14388529252</t>
        </is>
      </c>
      <c r="J10" s="2" t="inlineStr">
        <is>
          <t>https://itunes.apple.com/lt/reviews/id157901689</t>
        </is>
      </c>
      <c r="K10" s="2" t="n">
        <v>1</v>
      </c>
    </row>
    <row r="11">
      <c r="A11" s="2" t="inlineStr">
        <is>
          <t>Lithuania</t>
        </is>
      </c>
      <c r="B11" s="2" t="inlineStr">
        <is>
          <t>lt</t>
        </is>
      </c>
      <c r="C11" s="2" t="n">
        <v>1</v>
      </c>
      <c r="D11" s="3" t="inlineStr">
        <is>
          <t>Programeles naujinimai</t>
        </is>
      </c>
      <c r="E11" s="3" t="inlineStr">
        <is>
          <t>Labai daznai atsinaujina programele ir vis is naujo tenka jungtis su asmens dokumento, veido nuotraukomis ir tt, nors ta daryti norint atsiskaityti uz paslaugas nepatogu arba neimanoma. Del sios priezasties daug nemaloniu situaciju teko patirti.</t>
        </is>
      </c>
      <c r="F11" s="2" t="inlineStr">
        <is>
          <t>jgftl2</t>
        </is>
      </c>
      <c r="G11" s="2" t="inlineStr">
        <is>
          <t>46.4</t>
        </is>
      </c>
      <c r="H11" s="2" t="inlineStr">
        <is>
          <t>2026-07-15T10:43:39-07:00</t>
        </is>
      </c>
      <c r="I11" s="2" t="inlineStr">
        <is>
          <t>14307049559</t>
        </is>
      </c>
      <c r="J11" s="2" t="inlineStr">
        <is>
          <t>https://itunes.apple.com/lt/reviews/id481211167</t>
        </is>
      </c>
      <c r="K11" s="2" t="n">
        <v>1</v>
      </c>
    </row>
    <row r="12">
      <c r="A12" s="2" t="inlineStr">
        <is>
          <t>Lithuania</t>
        </is>
      </c>
      <c r="B12" s="2" t="inlineStr">
        <is>
          <t>lt</t>
        </is>
      </c>
      <c r="C12" s="2" t="n">
        <v>1</v>
      </c>
      <c r="D12" s="3" t="inlineStr">
        <is>
          <t>The worst banking app ever!</t>
        </is>
      </c>
      <c r="E12" s="3" t="inlineStr">
        <is>
          <t>It just doesn’t work. I get some random error every time I log in, it doesn’t remember my username even though I tick the box, no login with biometric data, transfers between accounts are pain! Swedbank app is 100x better, sorry Citadele but I’m closing my account because of your buggy app and terrible UX. I don’t understand how some people like it, maybe you are living under a rock?</t>
        </is>
      </c>
      <c r="F12" s="2" t="inlineStr">
        <is>
          <t>egluutt</t>
        </is>
      </c>
      <c r="G12" s="2" t="inlineStr">
        <is>
          <t>46.2</t>
        </is>
      </c>
      <c r="H12" s="2" t="inlineStr">
        <is>
          <t>2026-06-25T11:10:30-07:00</t>
        </is>
      </c>
      <c r="I12" s="2" t="inlineStr">
        <is>
          <t>14225567966</t>
        </is>
      </c>
      <c r="J12" s="2" t="inlineStr">
        <is>
          <t>https://itunes.apple.com/lt/reviews/id1298894342</t>
        </is>
      </c>
      <c r="K12" s="2" t="n">
        <v>1</v>
      </c>
    </row>
    <row r="13">
      <c r="A13" s="2" t="inlineStr">
        <is>
          <t>Lithuania</t>
        </is>
      </c>
      <c r="B13" s="2" t="inlineStr">
        <is>
          <t>lt</t>
        </is>
      </c>
      <c r="C13" s="2" t="n">
        <v>5</v>
      </c>
      <c r="D13" s="3" t="inlineStr">
        <is>
          <t>The best bank</t>
        </is>
      </c>
      <c r="E13" s="3" t="inlineStr">
        <is>
          <t>Good app</t>
        </is>
      </c>
      <c r="F13" s="2" t="inlineStr">
        <is>
          <t>jiojhu</t>
        </is>
      </c>
      <c r="G13" s="2" t="inlineStr">
        <is>
          <t>46.0</t>
        </is>
      </c>
      <c r="H13" s="2" t="inlineStr">
        <is>
          <t>2026-03-30T00:40:53-07:00</t>
        </is>
      </c>
      <c r="I13" s="2" t="inlineStr">
        <is>
          <t>13902584718</t>
        </is>
      </c>
      <c r="J13" s="2" t="inlineStr">
        <is>
          <t>https://itunes.apple.com/lt/reviews/id545295297</t>
        </is>
      </c>
      <c r="K13" s="2" t="n">
        <v>1</v>
      </c>
    </row>
    <row r="14">
      <c r="A14" s="2" t="inlineStr">
        <is>
          <t>Lithuania</t>
        </is>
      </c>
      <c r="B14" s="2" t="inlineStr">
        <is>
          <t>lt</t>
        </is>
      </c>
      <c r="C14" s="2" t="n">
        <v>1</v>
      </c>
      <c r="D14" s="3" t="inlineStr">
        <is>
          <t>Nepavyksta susikurti paskyros</t>
        </is>
      </c>
      <c r="E14" s="3" t="inlineStr">
        <is>
          <t>Bandžiau susikurti banko paskyrą per mobiliąją programėlę, kad galėčiau naudotis investavimo paslaugomis, tačiau pats registracijos procesas taip ir nebuvo užbaigtas dėl programėlės problemų.
Iš pradžių maniau, kad problema gali būti mano pusėje, todėl išbandžiau skirtingus Wi-Fi/mobiliojo ryšio tinklus, patikrinau ar naudojama naujausia programėlės versija, taip pat ar atnaujinta telefono operacinė sistema. Deja, tai nieko nepakeitė – klaida kartojosi.
Programėlė nesuteikė jokio aiškaus paaiškinimo, kas negerai, gaudavau pranešimą “Kažkas nepavyko. Bandyk dar kartą!“. Kreipiausi į klientų aptarnavimą, tačiau buvo pasiūlyti tik tie patys bendri patarimai, kuriuos jau buvau išbandęs. Vėliau, nors kelis kartus raštu aprašiau problemą, buvo pasakyta, kad konsultantės nemato mano laiško ir negali padėti.
Tokia patirtis kelia rimtų abejonių dėl pačios programėlės patikimumo, ypač kai kalbama apie finansines ir investavimo paslaugas. Dėl to nusprendžiau šios programėlės nenaudoti ir banko paslaugų atsisakyti.</t>
        </is>
      </c>
      <c r="F14" s="2" t="inlineStr">
        <is>
          <t>Kasparas Z.</t>
        </is>
      </c>
      <c r="G14" s="2" t="inlineStr">
        <is>
          <t>45.7</t>
        </is>
      </c>
      <c r="H14" s="2" t="inlineStr">
        <is>
          <t>2026-02-03T08:50:18-07:00</t>
        </is>
      </c>
      <c r="I14" s="2" t="inlineStr">
        <is>
          <t>13708898565</t>
        </is>
      </c>
      <c r="J14" s="2" t="inlineStr">
        <is>
          <t>https://itunes.apple.com/lt/reviews/id829252332</t>
        </is>
      </c>
      <c r="K14" s="2" t="n">
        <v>1</v>
      </c>
    </row>
    <row r="15">
      <c r="A15" s="2" t="inlineStr">
        <is>
          <t>Lithuania</t>
        </is>
      </c>
      <c r="B15" s="2" t="inlineStr">
        <is>
          <t>lt</t>
        </is>
      </c>
      <c r="C15" s="2" t="n">
        <v>5</v>
      </c>
      <c r="D15" s="3" t="inlineStr">
        <is>
          <t>Считай мои</t>
        </is>
      </c>
      <c r="E15" s="3" t="inlineStr">
        <is>
          <t>Все хорошо</t>
        </is>
      </c>
      <c r="F15" s="2" t="inlineStr">
        <is>
          <t>Фонтамаз</t>
        </is>
      </c>
      <c r="G15" s="2" t="inlineStr">
        <is>
          <t>45.7</t>
        </is>
      </c>
      <c r="H15" s="2" t="inlineStr">
        <is>
          <t>2025-12-15T06:52:16-07:00</t>
        </is>
      </c>
      <c r="I15" s="2" t="inlineStr">
        <is>
          <t>13516701338</t>
        </is>
      </c>
      <c r="J15" s="2" t="inlineStr">
        <is>
          <t>https://itunes.apple.com/lt/reviews/id584566429</t>
        </is>
      </c>
      <c r="K15" s="2" t="n">
        <v>1</v>
      </c>
    </row>
    <row r="16">
      <c r="A16" s="2" t="inlineStr">
        <is>
          <t>Lithuania</t>
        </is>
      </c>
      <c r="B16" s="2" t="inlineStr">
        <is>
          <t>lt</t>
        </is>
      </c>
      <c r="C16" s="2" t="n">
        <v>5</v>
      </c>
      <c r="D16" s="3" t="inlineStr">
        <is>
          <t>Puikus finansinis partneris</t>
        </is>
      </c>
      <c r="E16" s="3" t="inlineStr">
        <is>
          <t>Turiu lizingo sutartį ir kreditinę kortelę. Viskas paprasta nuo paraiškos iki kasdienio vartojimo. 😊</t>
        </is>
      </c>
      <c r="F16" s="2" t="inlineStr">
        <is>
          <t>Rasa2a</t>
        </is>
      </c>
      <c r="G16" s="2" t="inlineStr">
        <is>
          <t>45.7</t>
        </is>
      </c>
      <c r="H16" s="2" t="inlineStr">
        <is>
          <t>2025-12-15T03:10:19-07:00</t>
        </is>
      </c>
      <c r="I16" s="2" t="inlineStr">
        <is>
          <t>13516041617</t>
        </is>
      </c>
      <c r="J16" s="2" t="inlineStr">
        <is>
          <t>https://itunes.apple.com/lt/reviews/id488735204</t>
        </is>
      </c>
      <c r="K16" s="2" t="n">
        <v>1</v>
      </c>
    </row>
    <row r="17">
      <c r="A17" s="2" t="inlineStr">
        <is>
          <t>Lithuania</t>
        </is>
      </c>
      <c r="B17" s="2" t="inlineStr">
        <is>
          <t>lt</t>
        </is>
      </c>
      <c r="C17" s="2" t="n">
        <v>1</v>
      </c>
      <c r="D17" s="3" t="inlineStr">
        <is>
          <t>Very bad</t>
        </is>
      </c>
      <c r="E17" s="3" t="inlineStr">
        <is>
          <t>After app was updated all went wrong. Mobile scan stoped working. To login with mobile signature take more than minute. Old app was much better.</t>
        </is>
      </c>
      <c r="F17" s="2" t="inlineStr">
        <is>
          <t>Dr Solik</t>
        </is>
      </c>
      <c r="G17" s="2" t="inlineStr">
        <is>
          <t>45.5</t>
        </is>
      </c>
      <c r="H17" s="2" t="inlineStr">
        <is>
          <t>2025-10-31T10:38:30-07:00</t>
        </is>
      </c>
      <c r="I17" s="2" t="inlineStr">
        <is>
          <t>13338839568</t>
        </is>
      </c>
      <c r="J17" s="2" t="inlineStr">
        <is>
          <t>https://itunes.apple.com/lt/reviews/id451394272</t>
        </is>
      </c>
      <c r="K17" s="2" t="n">
        <v>1</v>
      </c>
    </row>
    <row r="18">
      <c r="A18" s="2" t="inlineStr">
        <is>
          <t>Lithuania</t>
        </is>
      </c>
      <c r="B18" s="2" t="inlineStr">
        <is>
          <t>lt</t>
        </is>
      </c>
      <c r="C18" s="2" t="n">
        <v>1</v>
      </c>
      <c r="D18" s="3" t="inlineStr">
        <is>
          <t>Prastai</t>
        </is>
      </c>
      <c r="E18" s="3" t="inlineStr">
        <is>
          <t>Kodėl dingo Face ID prisijungimas? Visi bankai daro kuo patogesnį prisijungimą, jūs padarėt kuo sudėtingesnį.. grąžinkite greitą ir paprastą prisijungimą su Face ID</t>
        </is>
      </c>
      <c r="F18" s="2" t="inlineStr">
        <is>
          <t>Ignelis300</t>
        </is>
      </c>
      <c r="G18" s="2" t="inlineStr">
        <is>
          <t>45.5</t>
        </is>
      </c>
      <c r="H18" s="2" t="inlineStr">
        <is>
          <t>2025-10-18T04:42:02-07:00</t>
        </is>
      </c>
      <c r="I18" s="2" t="inlineStr">
        <is>
          <t>13281979377</t>
        </is>
      </c>
      <c r="J18" s="2" t="inlineStr">
        <is>
          <t>https://itunes.apple.com/lt/reviews/id1098793952</t>
        </is>
      </c>
      <c r="K18" s="2" t="n">
        <v>1</v>
      </c>
    </row>
    <row r="19">
      <c r="A19" s="2" t="inlineStr">
        <is>
          <t>Lithuania</t>
        </is>
      </c>
      <c r="B19" s="2" t="inlineStr">
        <is>
          <t>lt</t>
        </is>
      </c>
      <c r="C19" s="2" t="n">
        <v>5</v>
      </c>
      <c r="D19" s="3" t="inlineStr">
        <is>
          <t>Citadele app review</t>
        </is>
      </c>
      <c r="E19" s="3" t="inlineStr">
        <is>
          <t>The app is easy to use with all the necessary features that are required in day to day life. Moreover, the app offers points for transactions which can be used for prices and discounts. So far I am more than satisfied with the app.</t>
        </is>
      </c>
      <c r="F19" s="2" t="inlineStr">
        <is>
          <t>Piju$</t>
        </is>
      </c>
      <c r="G19" s="2" t="inlineStr">
        <is>
          <t>45.0</t>
        </is>
      </c>
      <c r="H19" s="2" t="inlineStr">
        <is>
          <t>2025-04-23T02:09:01-07:00</t>
        </is>
      </c>
      <c r="I19" s="2" t="inlineStr">
        <is>
          <t>12576000760</t>
        </is>
      </c>
      <c r="J19" s="2" t="inlineStr">
        <is>
          <t>https://itunes.apple.com/lt/reviews/id1237346534</t>
        </is>
      </c>
      <c r="K19" s="2" t="n">
        <v>1</v>
      </c>
    </row>
    <row r="20">
      <c r="A20" s="2" t="inlineStr">
        <is>
          <t>Lithuania</t>
        </is>
      </c>
      <c r="B20" s="2" t="inlineStr">
        <is>
          <t>lt</t>
        </is>
      </c>
      <c r="C20" s="2" t="n">
        <v>1</v>
      </c>
      <c r="D20" s="3" t="inlineStr">
        <is>
          <t>Neveikia</t>
        </is>
      </c>
      <c r="E20" s="3" t="inlineStr">
        <is>
          <t>Sudas ne programa neimanoma prisijungti</t>
        </is>
      </c>
      <c r="F20" s="2" t="inlineStr">
        <is>
          <t>J0ku643</t>
        </is>
      </c>
      <c r="G20" s="2" t="inlineStr">
        <is>
          <t>45.0</t>
        </is>
      </c>
      <c r="H20" s="2" t="inlineStr">
        <is>
          <t>2025-04-17T03:03:32-07:00</t>
        </is>
      </c>
      <c r="I20" s="2" t="inlineStr">
        <is>
          <t>12553195578</t>
        </is>
      </c>
      <c r="J20" s="2" t="inlineStr">
        <is>
          <t>https://itunes.apple.com/lt/reviews/id648335191</t>
        </is>
      </c>
      <c r="K20" s="2" t="n">
        <v>1</v>
      </c>
    </row>
    <row r="21">
      <c r="A21" s="2" t="inlineStr">
        <is>
          <t>Lithuania</t>
        </is>
      </c>
      <c r="B21" s="2" t="inlineStr">
        <is>
          <t>lt</t>
        </is>
      </c>
      <c r="C21" s="2" t="n">
        <v>2</v>
      </c>
      <c r="D21" s="3" t="inlineStr">
        <is>
          <t>Labai prastai atsinaujinot</t>
        </is>
      </c>
      <c r="E21" s="3" t="inlineStr">
        <is>
          <t>Labai prastas atnaujintas UX, visiškai ne user friendly. Nepatogu naudotis, visos funkcijos sudėtos po scrollu vietoj quick access mygtukų. Daug bereikalingo whitespace pačiam viršuj ir keistu hierarchijos išdėstymu (neaktualios paslaugos pateiktos aukščiau nei aktualios). Atrodo tarsi bandyta kopijuot Revolut appsą, bet UX’ą internas darė.</t>
        </is>
      </c>
      <c r="F21" s="2" t="inlineStr">
        <is>
          <t>Rugilė</t>
        </is>
      </c>
      <c r="G21" s="2" t="inlineStr">
        <is>
          <t>44.0</t>
        </is>
      </c>
      <c r="H21" s="2" t="inlineStr">
        <is>
          <t>2024-11-13T03:39:45-07:00</t>
        </is>
      </c>
      <c r="I21" s="2" t="inlineStr">
        <is>
          <t>11944884614</t>
        </is>
      </c>
      <c r="J21" s="2" t="inlineStr">
        <is>
          <t>https://itunes.apple.com/lt/reviews/id310367494</t>
        </is>
      </c>
      <c r="K21" s="2" t="n">
        <v>1</v>
      </c>
    </row>
    <row r="22">
      <c r="A22" s="2" t="inlineStr">
        <is>
          <t>Lithuania</t>
        </is>
      </c>
      <c r="B22" s="2" t="inlineStr">
        <is>
          <t>lt</t>
        </is>
      </c>
      <c r="C22" s="2" t="n">
        <v>5</v>
      </c>
      <c r="D22" s="3" t="inlineStr">
        <is>
          <t>Service</t>
        </is>
      </c>
      <c r="E22" s="3" t="inlineStr">
        <is>
          <t>Exilent</t>
        </is>
      </c>
      <c r="F22" s="2" t="inlineStr">
        <is>
          <t>Has Karan</t>
        </is>
      </c>
      <c r="G22" s="2" t="inlineStr">
        <is>
          <t>14.2</t>
        </is>
      </c>
      <c r="H22" s="2" t="inlineStr">
        <is>
          <t>2024-07-12T10:26:21-07:00</t>
        </is>
      </c>
      <c r="I22" s="2" t="inlineStr">
        <is>
          <t>11485365551</t>
        </is>
      </c>
      <c r="J22" s="2" t="inlineStr">
        <is>
          <t>https://itunes.apple.com/lt/reviews/id1670546040</t>
        </is>
      </c>
      <c r="K22" s="2" t="n">
        <v>1</v>
      </c>
    </row>
    <row r="23">
      <c r="A23" s="2" t="inlineStr">
        <is>
          <t>Lithuania</t>
        </is>
      </c>
      <c r="B23" s="2" t="inlineStr">
        <is>
          <t>lt</t>
        </is>
      </c>
      <c r="C23" s="2" t="n">
        <v>3</v>
      </c>
      <c r="D23" s="3" t="inlineStr">
        <is>
          <t>Lacks features.</t>
        </is>
      </c>
      <c r="E23" s="3" t="inlineStr">
        <is>
          <t>Please add budgeting and analytics! And Don’t underpay your developers!</t>
        </is>
      </c>
      <c r="F23" s="2" t="inlineStr">
        <is>
          <t>ElvinasM</t>
        </is>
      </c>
      <c r="G23" s="2" t="inlineStr">
        <is>
          <t>14.1</t>
        </is>
      </c>
      <c r="H23" s="2" t="inlineStr">
        <is>
          <t>2024-05-30T01:50:07-07:00</t>
        </is>
      </c>
      <c r="I23" s="2" t="inlineStr">
        <is>
          <t>11323012275</t>
        </is>
      </c>
      <c r="J23" s="2" t="inlineStr">
        <is>
          <t>https://itunes.apple.com/lt/reviews/id1613314381</t>
        </is>
      </c>
      <c r="K23" s="2" t="n">
        <v>1</v>
      </c>
    </row>
    <row r="24">
      <c r="A24" s="2" t="inlineStr">
        <is>
          <t>Lithuania</t>
        </is>
      </c>
      <c r="B24" s="2" t="inlineStr">
        <is>
          <t>lt</t>
        </is>
      </c>
      <c r="C24" s="2" t="n">
        <v>1</v>
      </c>
      <c r="D24" s="3" t="inlineStr">
        <is>
          <t>Very bad</t>
        </is>
      </c>
      <c r="E24" s="3" t="inlineStr">
        <is>
          <t>Labai nepatogi programele, visada stringa, norint prisijungti visada susinervuoji. Iki swedbank programeles jums dar augti ir augti.</t>
        </is>
      </c>
      <c r="F24" s="2" t="inlineStr">
        <is>
          <t>Varlytė</t>
        </is>
      </c>
      <c r="G24" s="2" t="inlineStr">
        <is>
          <t>13.7</t>
        </is>
      </c>
      <c r="H24" s="2" t="inlineStr">
        <is>
          <t>2024-02-25T08:10:30-07:00</t>
        </is>
      </c>
      <c r="I24" s="2" t="inlineStr">
        <is>
          <t>10978748223</t>
        </is>
      </c>
      <c r="J24" s="2" t="inlineStr">
        <is>
          <t>https://itunes.apple.com/lt/reviews/id337977041</t>
        </is>
      </c>
      <c r="K24" s="2" t="n">
        <v>1</v>
      </c>
    </row>
    <row r="25">
      <c r="A25" s="2" t="inlineStr">
        <is>
          <t>Lithuania</t>
        </is>
      </c>
      <c r="B25" s="2" t="inlineStr">
        <is>
          <t>lt</t>
        </is>
      </c>
      <c r="C25" s="2" t="n">
        <v>1</v>
      </c>
      <c r="D25" s="3" t="inlineStr">
        <is>
          <t>Problems</t>
        </is>
      </c>
      <c r="E25" s="3" t="inlineStr">
        <is>
          <t>App widget stopped working few weeks ago and still no update to solve this problem</t>
        </is>
      </c>
      <c r="F25" s="2" t="inlineStr">
        <is>
          <t>Greatnumber</t>
        </is>
      </c>
      <c r="G25" s="2" t="inlineStr">
        <is>
          <t>13.7</t>
        </is>
      </c>
      <c r="H25" s="2" t="inlineStr">
        <is>
          <t>2024-01-30T03:16:49-07:00</t>
        </is>
      </c>
      <c r="I25" s="2" t="inlineStr">
        <is>
          <t>10880595053</t>
        </is>
      </c>
      <c r="J25" s="2" t="inlineStr">
        <is>
          <t>https://itunes.apple.com/lt/reviews/id290389315</t>
        </is>
      </c>
      <c r="K25" s="2" t="n">
        <v>1</v>
      </c>
    </row>
    <row r="26">
      <c r="A26" s="2" t="inlineStr">
        <is>
          <t>Lithuania</t>
        </is>
      </c>
      <c r="B26" s="2" t="inlineStr">
        <is>
          <t>lt</t>
        </is>
      </c>
      <c r="C26" s="2" t="n">
        <v>5</v>
      </c>
      <c r="D26" s="3" t="inlineStr">
        <is>
          <t>Widget</t>
        </is>
      </c>
      <c r="E26" s="3" t="inlineStr">
        <is>
          <t>Netelpa likutis į mažesnį vidžetą.Gražinkit € ženkliuką vietoj EUR.Anksčiau atrode daug geriau…</t>
        </is>
      </c>
      <c r="F26" s="2" t="inlineStr">
        <is>
          <t>Georgij.P</t>
        </is>
      </c>
      <c r="G26" s="2" t="inlineStr">
        <is>
          <t>13.6</t>
        </is>
      </c>
      <c r="H26" s="2" t="inlineStr">
        <is>
          <t>2023-11-16T03:08:16-07:00</t>
        </is>
      </c>
      <c r="I26" s="2" t="inlineStr">
        <is>
          <t>10591091753</t>
        </is>
      </c>
      <c r="J26" s="2" t="inlineStr">
        <is>
          <t>https://itunes.apple.com/lt/reviews/id1270055122</t>
        </is>
      </c>
      <c r="K26" s="2" t="n">
        <v>1</v>
      </c>
    </row>
    <row r="27">
      <c r="A27" s="2" t="inlineStr">
        <is>
          <t>Lithuania</t>
        </is>
      </c>
      <c r="B27" s="2" t="inlineStr">
        <is>
          <t>lt</t>
        </is>
      </c>
      <c r="C27" s="2" t="n">
        <v>1</v>
      </c>
      <c r="D27" s="3" t="inlineStr">
        <is>
          <t>Buggs in IOs</t>
        </is>
      </c>
      <c r="E27" s="3" t="inlineStr">
        <is>
          <t>Fix this app!!</t>
        </is>
      </c>
      <c r="F27" s="2" t="inlineStr">
        <is>
          <t>ugne.leel</t>
        </is>
      </c>
      <c r="G27" s="2" t="inlineStr">
        <is>
          <t>13.2</t>
        </is>
      </c>
      <c r="H27" s="2" t="inlineStr">
        <is>
          <t>2023-06-22T02:54:39-07:00</t>
        </is>
      </c>
      <c r="I27" s="2" t="inlineStr">
        <is>
          <t>10059986408</t>
        </is>
      </c>
      <c r="J27" s="2" t="inlineStr">
        <is>
          <t>https://itunes.apple.com/lt/reviews/id1208548533</t>
        </is>
      </c>
      <c r="K27" s="2" t="n">
        <v>1</v>
      </c>
    </row>
    <row r="28">
      <c r="A28" s="2" t="inlineStr">
        <is>
          <t>Lithuania</t>
        </is>
      </c>
      <c r="B28" s="2" t="inlineStr">
        <is>
          <t>lt</t>
        </is>
      </c>
      <c r="C28" s="2" t="n">
        <v>4</v>
      </c>
      <c r="D28" s="3" t="inlineStr">
        <is>
          <t>Stabili</t>
        </is>
      </c>
      <c r="E28" s="3" t="inlineStr">
        <is>
          <t>Kodėl nėra “face” logino?</t>
        </is>
      </c>
      <c r="F28" s="2" t="inlineStr">
        <is>
          <t>Briedislankoj</t>
        </is>
      </c>
      <c r="G28" s="2" t="inlineStr">
        <is>
          <t>13.0</t>
        </is>
      </c>
      <c r="H28" s="2" t="inlineStr">
        <is>
          <t>2023-03-08T03:49:33-07:00</t>
        </is>
      </c>
      <c r="I28" s="2" t="inlineStr">
        <is>
          <t>9691604294</t>
        </is>
      </c>
      <c r="J28" s="2" t="inlineStr">
        <is>
          <t>https://itunes.apple.com/lt/reviews/id499715292</t>
        </is>
      </c>
      <c r="K28" s="2" t="n">
        <v>1</v>
      </c>
    </row>
    <row r="29">
      <c r="A29" s="2" t="inlineStr">
        <is>
          <t>Lithuania</t>
        </is>
      </c>
      <c r="B29" s="2" t="inlineStr">
        <is>
          <t>lt</t>
        </is>
      </c>
      <c r="C29" s="2" t="n">
        <v>1</v>
      </c>
      <c r="D29" s="3" t="inlineStr">
        <is>
          <t>Programėlė neveikia,</t>
        </is>
      </c>
      <c r="E29" s="3" t="inlineStr">
        <is>
          <t>Rodo raudoną ekraną be gyvybės žymių.
iOS 16.2</t>
        </is>
      </c>
      <c r="F29" s="2" t="inlineStr">
        <is>
          <t>Harpija</t>
        </is>
      </c>
      <c r="G29" s="2" t="inlineStr">
        <is>
          <t>12.48</t>
        </is>
      </c>
      <c r="H29" s="2" t="inlineStr">
        <is>
          <t>2023-01-02T02:24:08-07:00</t>
        </is>
      </c>
      <c r="I29" s="2" t="inlineStr">
        <is>
          <t>9461827348</t>
        </is>
      </c>
      <c r="J29" s="2" t="inlineStr">
        <is>
          <t>https://itunes.apple.com/lt/reviews/id321026036</t>
        </is>
      </c>
      <c r="K29" s="2" t="n">
        <v>1</v>
      </c>
    </row>
    <row r="30">
      <c r="A30" s="2" t="inlineStr">
        <is>
          <t>Lithuania</t>
        </is>
      </c>
      <c r="B30" s="2" t="inlineStr">
        <is>
          <t>lt</t>
        </is>
      </c>
      <c r="C30" s="2" t="n">
        <v>5</v>
      </c>
      <c r="D30" s="3" t="inlineStr">
        <is>
          <t>Del korteles aptarnavimo Dominikos respublikoje</t>
        </is>
      </c>
      <c r="E30" s="3" t="inlineStr">
        <is>
          <t>Siuo metu esu Dominikos respublikoje ir negaliu atsiskaityti kortele- kortele neaptarnaujama. Kaip isspresti sia problema kuo skubiau, nes likau be pinigu. Busiu Dominikoje iki lapkricio 14d. 
     Jolanta Bubeliene</t>
        </is>
      </c>
      <c r="F30" s="2" t="inlineStr">
        <is>
          <t>Jolanta Bubeliene</t>
        </is>
      </c>
      <c r="G30" s="2" t="inlineStr">
        <is>
          <t>12.42</t>
        </is>
      </c>
      <c r="H30" s="2" t="inlineStr">
        <is>
          <t>2021-11-08T02:10:48-07:00</t>
        </is>
      </c>
      <c r="I30" s="2" t="inlineStr">
        <is>
          <t>8001583075</t>
        </is>
      </c>
      <c r="J30" s="2" t="inlineStr">
        <is>
          <t>https://itunes.apple.com/lt/reviews/id616541741</t>
        </is>
      </c>
      <c r="K30" s="2" t="n">
        <v>1</v>
      </c>
    </row>
    <row r="31">
      <c r="A31" s="2" t="inlineStr">
        <is>
          <t>Lithuania</t>
        </is>
      </c>
      <c r="B31" s="2" t="inlineStr">
        <is>
          <t>lt</t>
        </is>
      </c>
      <c r="C31" s="2" t="n">
        <v>1</v>
      </c>
      <c r="D31" s="3" t="inlineStr">
        <is>
          <t>Nusivylimas</t>
        </is>
      </c>
      <c r="E31" s="3" t="inlineStr">
        <is>
          <t>Kaskart athaujinat programele dingsta prisijungimo pasirinkimai ir tenka skambint i klientu aptarnavima, siandien dingo net neatnaujinus programeles, trecias kartas per dvi savaites... 
Taip pat nesiuncia notificationu nors jie ir ijungti...</t>
        </is>
      </c>
      <c r="F31" s="2" t="inlineStr">
        <is>
          <t>Oswald Snelman</t>
        </is>
      </c>
      <c r="G31" s="2" t="inlineStr">
        <is>
          <t>12.41</t>
        </is>
      </c>
      <c r="H31" s="2" t="inlineStr">
        <is>
          <t>2021-10-13T05:08:13-07:00</t>
        </is>
      </c>
      <c r="I31" s="2" t="inlineStr">
        <is>
          <t>7909879783</t>
        </is>
      </c>
      <c r="J31" s="2" t="inlineStr">
        <is>
          <t>https://itunes.apple.com/lt/reviews/id879508084</t>
        </is>
      </c>
      <c r="K31" s="2" t="n">
        <v>1</v>
      </c>
    </row>
    <row r="32">
      <c r="A32" s="2" t="inlineStr">
        <is>
          <t>Lithuania</t>
        </is>
      </c>
      <c r="B32" s="2" t="inlineStr">
        <is>
          <t>lt</t>
        </is>
      </c>
      <c r="C32" s="2" t="n">
        <v>1</v>
      </c>
      <c r="D32" s="3" t="inlineStr">
        <is>
          <t>Nerekomenduoju</t>
        </is>
      </c>
      <c r="E32" s="3" t="inlineStr">
        <is>
          <t>Tapti klientu naudojant pasą tapatybės patvirtinimui neįmanoma, programėlė neveikia. Banko konsultantės visiškai neprofesionalios, nieko nesupranta apie programėlės fukncionalumus, nesugeba pasiūlyti jokio sprendimo tik registruotis dėl atvykimo į banko skyrių.</t>
        </is>
      </c>
      <c r="F32" s="2" t="inlineStr">
        <is>
          <t>ggreta1</t>
        </is>
      </c>
      <c r="G32" s="2" t="inlineStr">
        <is>
          <t>12.37</t>
        </is>
      </c>
      <c r="H32" s="2" t="inlineStr">
        <is>
          <t>2021-06-25T08:21:59-07:00</t>
        </is>
      </c>
      <c r="I32" s="2" t="inlineStr">
        <is>
          <t>7504737354</t>
        </is>
      </c>
      <c r="J32" s="2" t="inlineStr">
        <is>
          <t>https://itunes.apple.com/lt/reviews/id1303189925</t>
        </is>
      </c>
      <c r="K32" s="2" t="n">
        <v>1</v>
      </c>
    </row>
    <row r="33">
      <c r="A33" s="2" t="inlineStr">
        <is>
          <t>Lithuania</t>
        </is>
      </c>
      <c r="B33" s="2" t="inlineStr">
        <is>
          <t>lt</t>
        </is>
      </c>
      <c r="C33" s="2" t="n">
        <v>3</v>
      </c>
      <c r="D33" s="3" t="inlineStr">
        <is>
          <t>Notifications</t>
        </is>
      </c>
      <c r="E33" s="3" t="inlineStr">
        <is>
          <t>Kažkuriuo metu programėlė nustojo siųsti/rodyti notificationus? Tiek programėlės tiek telefono nustatymuose notifications įjungti. iOS 14.3</t>
        </is>
      </c>
      <c r="F33" s="2" t="inlineStr">
        <is>
          <t>Justuxasss69</t>
        </is>
      </c>
      <c r="G33" s="2" t="inlineStr">
        <is>
          <t>12.33</t>
        </is>
      </c>
      <c r="H33" s="2" t="inlineStr">
        <is>
          <t>2021-01-24T07:16:27-07:00</t>
        </is>
      </c>
      <c r="I33" s="2" t="inlineStr">
        <is>
          <t>6908292939</t>
        </is>
      </c>
      <c r="J33" s="2" t="inlineStr">
        <is>
          <t>https://itunes.apple.com/lt/reviews/id374785706</t>
        </is>
      </c>
      <c r="K33" s="2" t="n">
        <v>1</v>
      </c>
    </row>
    <row r="34">
      <c r="A34" s="2" t="inlineStr">
        <is>
          <t>Lithuania</t>
        </is>
      </c>
      <c r="B34" s="2" t="inlineStr">
        <is>
          <t>lt</t>
        </is>
      </c>
      <c r="C34" s="2" t="n">
        <v>2</v>
      </c>
      <c r="D34" s="3" t="inlineStr">
        <is>
          <t>Bėda</t>
        </is>
      </c>
      <c r="E34" s="3" t="inlineStr">
        <is>
          <t>Atsinaujinus iOS 13.5, programėlė veikia tragiškai</t>
        </is>
      </c>
      <c r="F34" s="2" t="inlineStr">
        <is>
          <t>DobVaje183</t>
        </is>
      </c>
      <c r="G34" s="2" t="inlineStr">
        <is>
          <t>12.25</t>
        </is>
      </c>
      <c r="H34" s="2" t="inlineStr">
        <is>
          <t>2020-05-24T02:38:13-07:00</t>
        </is>
      </c>
      <c r="I34" s="2" t="inlineStr">
        <is>
          <t>5987198875</t>
        </is>
      </c>
      <c r="J34" s="2" t="inlineStr">
        <is>
          <t>https://itunes.apple.com/lt/reviews/id1072036952</t>
        </is>
      </c>
      <c r="K34" s="2" t="n">
        <v>1</v>
      </c>
    </row>
    <row r="35">
      <c r="A35" s="2" t="inlineStr">
        <is>
          <t>Lithuania</t>
        </is>
      </c>
      <c r="B35" s="2" t="inlineStr">
        <is>
          <t>lt</t>
        </is>
      </c>
      <c r="C35" s="2" t="n">
        <v>4</v>
      </c>
      <c r="D35" s="3" t="inlineStr">
        <is>
          <t>Review</t>
        </is>
      </c>
      <c r="E35" s="3" t="inlineStr">
        <is>
          <t>User-friendly app, quite easy to operate and handle things. Still missing the possibility to link Citadele to Garmin Pay, whereas competitors (Swedbank) already have it. Keep up!</t>
        </is>
      </c>
      <c r="F35" s="2" t="inlineStr">
        <is>
          <t>Mark Lithuania</t>
        </is>
      </c>
      <c r="G35" s="2" t="inlineStr">
        <is>
          <t>12.24</t>
        </is>
      </c>
      <c r="H35" s="2" t="inlineStr">
        <is>
          <t>2020-04-06T04:51:17-07:00</t>
        </is>
      </c>
      <c r="I35" s="2" t="inlineStr">
        <is>
          <t>5770664448</t>
        </is>
      </c>
      <c r="J35" s="2" t="inlineStr">
        <is>
          <t>https://itunes.apple.com/lt/reviews/id724691240</t>
        </is>
      </c>
      <c r="K35" s="2" t="n">
        <v>1</v>
      </c>
    </row>
    <row r="36">
      <c r="A36" s="2" t="inlineStr">
        <is>
          <t>Lithuania</t>
        </is>
      </c>
      <c r="B36" s="2" t="inlineStr">
        <is>
          <t>lt</t>
        </is>
      </c>
      <c r="C36" s="2" t="n">
        <v>4</v>
      </c>
      <c r="D36" s="3" t="inlineStr">
        <is>
          <t>iPad versijoje neveikia mobile scan</t>
        </is>
      </c>
      <c r="E36" s="3" t="inlineStr">
        <is>
          <t>Programėlė veikia puikiai iPhone, tačiau iPad nors ir aktyvavus mobile scan nėra galimybės prisijungti naudojant Face ID.</t>
        </is>
      </c>
      <c r="F36" s="2" t="inlineStr">
        <is>
          <t>Reggie Francisco</t>
        </is>
      </c>
      <c r="G36" s="2" t="inlineStr">
        <is>
          <t>12.17</t>
        </is>
      </c>
      <c r="H36" s="2" t="inlineStr">
        <is>
          <t>2019-08-01T02:05:16-07:00</t>
        </is>
      </c>
      <c r="I36" s="2" t="inlineStr">
        <is>
          <t>4549683154</t>
        </is>
      </c>
      <c r="J36" s="2" t="inlineStr">
        <is>
          <t>https://itunes.apple.com/lt/reviews/id144590112</t>
        </is>
      </c>
      <c r="K36" s="2" t="n">
        <v>1</v>
      </c>
    </row>
    <row r="37">
      <c r="A37" s="2" t="inlineStr">
        <is>
          <t>Lithuania</t>
        </is>
      </c>
      <c r="B37" s="2" t="inlineStr">
        <is>
          <t>lt</t>
        </is>
      </c>
      <c r="C37" s="2" t="n">
        <v>1</v>
      </c>
      <c r="D37" s="3" t="inlineStr">
        <is>
          <t>neveikia appsas</t>
        </is>
      </c>
      <c r="E37" s="3" t="inlineStr">
        <is>
          <t>Neveikia, tik kontaktus ir padalinius galima matyti, integravo matyt google zemelapi. Prisijungti prie banko paskyros neimanoma. Idomu kiek mln prasuko IT "specai".</t>
        </is>
      </c>
      <c r="F37" s="2" t="inlineStr">
        <is>
          <t>M i r k o</t>
        </is>
      </c>
      <c r="G37" s="2" t="inlineStr">
        <is>
          <t>12.14</t>
        </is>
      </c>
      <c r="H37" s="2" t="inlineStr">
        <is>
          <t>2019-05-09T09:42:27-07:00</t>
        </is>
      </c>
      <c r="I37" s="2" t="inlineStr">
        <is>
          <t>4124663536</t>
        </is>
      </c>
      <c r="J37" s="2" t="inlineStr">
        <is>
          <t>https://itunes.apple.com/lt/reviews/id825179085</t>
        </is>
      </c>
      <c r="K37" s="2" t="n">
        <v>1</v>
      </c>
    </row>
    <row r="38">
      <c r="A38" s="2" t="inlineStr">
        <is>
          <t>Lithuania</t>
        </is>
      </c>
      <c r="B38" s="2" t="inlineStr">
        <is>
          <t>lt</t>
        </is>
      </c>
      <c r="C38" s="2" t="n">
        <v>1</v>
      </c>
      <c r="D38" s="3" t="inlineStr">
        <is>
          <t>Tragedija</t>
        </is>
      </c>
      <c r="E38" s="3" t="inlineStr">
        <is>
          <t>Tragedija. Tiek metų ir jokių pokyčių į gerą su Jūsų apps’u.. Pastovūs gedimai, strigimai. 
Jau tris dienas neįmanoma prisijungt. Prisijungi, iškart reikalauja keisti slaptažodį, įvedi viską ir “Neteisingas dabartinis slaptažodis”.
Prisijungti prie bankininkystės teisingas, o jau slaptažodį pakeist-neteisingas 🤦🏼‍♀️🤦🏼‍♀️🤦🏼‍♀️</t>
        </is>
      </c>
      <c r="F38" s="2" t="inlineStr">
        <is>
          <t>Piktaaa</t>
        </is>
      </c>
      <c r="G38" s="2" t="inlineStr">
        <is>
          <t>12.14</t>
        </is>
      </c>
      <c r="H38" s="2" t="inlineStr">
        <is>
          <t>2019-04-25T13:09:51-07:00</t>
        </is>
      </c>
      <c r="I38" s="2" t="inlineStr">
        <is>
          <t>4059708557</t>
        </is>
      </c>
      <c r="J38" s="2" t="inlineStr">
        <is>
          <t>https://itunes.apple.com/lt/reviews/id361729637</t>
        </is>
      </c>
      <c r="K38" s="2" t="n">
        <v>1</v>
      </c>
    </row>
    <row r="39">
      <c r="A39" s="2" t="inlineStr">
        <is>
          <t>Lithuania</t>
        </is>
      </c>
      <c r="B39" s="2" t="inlineStr">
        <is>
          <t>lt</t>
        </is>
      </c>
      <c r="C39" s="2" t="n">
        <v>1</v>
      </c>
      <c r="D39" s="3" t="inlineStr">
        <is>
          <t>Nesamone</t>
        </is>
      </c>
      <c r="E39" s="3" t="inlineStr">
        <is>
          <t>Prisijungus prie programeles, praso pasikeisti koda, ivedi identiska sena koda, jog pakeist i nauja, raso kad neteisingas...</t>
        </is>
      </c>
      <c r="F39" s="2" t="inlineStr">
        <is>
          <t>armnkav21</t>
        </is>
      </c>
      <c r="G39" s="2" t="inlineStr">
        <is>
          <t>12.14</t>
        </is>
      </c>
      <c r="H39" s="2" t="inlineStr">
        <is>
          <t>2019-04-18T07:58:27-07:00</t>
        </is>
      </c>
      <c r="I39" s="2" t="inlineStr">
        <is>
          <t>4028679262</t>
        </is>
      </c>
      <c r="J39" s="2" t="inlineStr">
        <is>
          <t>https://itunes.apple.com/lt/reviews/id1007204947</t>
        </is>
      </c>
      <c r="K39" s="2" t="n">
        <v>1</v>
      </c>
    </row>
    <row r="40">
      <c r="A40" s="2" t="inlineStr">
        <is>
          <t>Lithuania</t>
        </is>
      </c>
      <c r="B40" s="2" t="inlineStr">
        <is>
          <t>lt</t>
        </is>
      </c>
      <c r="C40" s="2" t="n">
        <v>5</v>
      </c>
      <c r="D40" s="3" t="inlineStr">
        <is>
          <t>Puikiai</t>
        </is>
      </c>
      <c r="E40" s="3" t="inlineStr">
        <is>
          <t>Pranešimai apie atsiskaitymus kortele/pokyčius sąskaitoje paskutinėje programėlės versijoje, kortelių valdymas, super patogus MobilePASS, FaceID - turite puikią vartotojo patirtį. Padarytumėt Apple Pay - iš vis jums lygių nebūtų 😀</t>
        </is>
      </c>
      <c r="F40" s="2" t="inlineStr">
        <is>
          <t>Mindaugas N.</t>
        </is>
      </c>
      <c r="G40" s="2" t="inlineStr">
        <is>
          <t>12.14</t>
        </is>
      </c>
      <c r="H40" s="2" t="inlineStr">
        <is>
          <t>2019-04-17T08:03:37-07:00</t>
        </is>
      </c>
      <c r="I40" s="2" t="inlineStr">
        <is>
          <t>4024559282</t>
        </is>
      </c>
      <c r="J40" s="2" t="inlineStr">
        <is>
          <t>https://itunes.apple.com/lt/reviews/id482350589</t>
        </is>
      </c>
      <c r="K40" s="2" t="n">
        <v>1</v>
      </c>
    </row>
    <row r="41">
      <c r="A41" s="2" t="inlineStr">
        <is>
          <t>Lithuania</t>
        </is>
      </c>
      <c r="B41" s="2" t="inlineStr">
        <is>
          <t>lt</t>
        </is>
      </c>
      <c r="C41" s="2" t="n">
        <v>1</v>
      </c>
      <c r="D41" s="3" t="inlineStr">
        <is>
          <t>Naudotojas</t>
        </is>
      </c>
      <c r="E41" s="3" t="inlineStr">
        <is>
          <t>Tai kur ta galimybe matyti greita likuti iOS ???</t>
        </is>
      </c>
      <c r="F41" s="2" t="inlineStr">
        <is>
          <t>Pravalas</t>
        </is>
      </c>
      <c r="G41" s="2" t="inlineStr">
        <is>
          <t>12.12</t>
        </is>
      </c>
      <c r="H41" s="2" t="inlineStr">
        <is>
          <t>2019-01-25T03:54:38-07:00</t>
        </is>
      </c>
      <c r="I41" s="2" t="inlineStr">
        <is>
          <t>3692465025</t>
        </is>
      </c>
      <c r="J41" s="2" t="inlineStr">
        <is>
          <t>https://itunes.apple.com/lt/reviews/id414261566</t>
        </is>
      </c>
      <c r="K41" s="2" t="n">
        <v>1</v>
      </c>
    </row>
    <row r="42">
      <c r="A42" s="2" t="inlineStr">
        <is>
          <t>Lithuania</t>
        </is>
      </c>
      <c r="B42" s="2" t="inlineStr">
        <is>
          <t>lt</t>
        </is>
      </c>
      <c r="C42" s="2" t="n">
        <v>1</v>
      </c>
      <c r="D42" s="3" t="inlineStr">
        <is>
          <t>...</t>
        </is>
      </c>
      <c r="E42" s="3" t="inlineStr">
        <is>
          <t>neleidzia prisijungti nors prisijungimo vardas ir slaptazodis tikrai geri, per narsykle viskas veikia.</t>
        </is>
      </c>
      <c r="F42" s="2" t="inlineStr">
        <is>
          <t>ugnekookie</t>
        </is>
      </c>
      <c r="G42" s="2" t="inlineStr">
        <is>
          <t>12.11</t>
        </is>
      </c>
      <c r="H42" s="2" t="inlineStr">
        <is>
          <t>2019-01-03T11:08:16-07:00</t>
        </is>
      </c>
      <c r="I42" s="2" t="inlineStr">
        <is>
          <t>3608333325</t>
        </is>
      </c>
      <c r="J42" s="2" t="inlineStr">
        <is>
          <t>https://itunes.apple.com/lt/reviews/id918721179</t>
        </is>
      </c>
      <c r="K42" s="2" t="n">
        <v>1</v>
      </c>
    </row>
    <row r="43">
      <c r="A43" s="2" t="inlineStr">
        <is>
          <t>Lithuania</t>
        </is>
      </c>
      <c r="B43" s="2" t="inlineStr">
        <is>
          <t>lt</t>
        </is>
      </c>
      <c r="C43" s="2" t="n">
        <v>5</v>
      </c>
      <c r="D43" s="3" t="inlineStr">
        <is>
          <t>Už gerus ketinimus</t>
        </is>
      </c>
      <c r="E43" s="3" t="inlineStr">
        <is>
          <t>.</t>
        </is>
      </c>
      <c r="F43" s="2" t="inlineStr">
        <is>
          <t>Naudotojas123</t>
        </is>
      </c>
      <c r="G43" s="2" t="inlineStr">
        <is>
          <t>12.11</t>
        </is>
      </c>
      <c r="H43" s="2" t="inlineStr">
        <is>
          <t>2019-01-02T10:30:45-07:00</t>
        </is>
      </c>
      <c r="I43" s="2" t="inlineStr">
        <is>
          <t>3604347849</t>
        </is>
      </c>
      <c r="J43" s="2" t="inlineStr">
        <is>
          <t>https://itunes.apple.com/lt/reviews/id697799043</t>
        </is>
      </c>
      <c r="K43" s="2" t="n">
        <v>1</v>
      </c>
    </row>
    <row r="44">
      <c r="A44" s="2" t="inlineStr">
        <is>
          <t>Lithuania</t>
        </is>
      </c>
      <c r="B44" s="2" t="inlineStr">
        <is>
          <t>lt</t>
        </is>
      </c>
      <c r="C44" s="2" t="n">
        <v>1</v>
      </c>
      <c r="D44" s="3" t="inlineStr">
        <is>
          <t>Klientas</t>
        </is>
      </c>
      <c r="E44" s="3" t="inlineStr">
        <is>
          <t>Po atnaujinimo, nebegalima prisijungti prie programėlės, meta klaida, nors mobilusis parašas veikia :(</t>
        </is>
      </c>
      <c r="F44" s="2" t="inlineStr">
        <is>
          <t>auris_1</t>
        </is>
      </c>
      <c r="G44" s="2" t="inlineStr">
        <is>
          <t>12.10</t>
        </is>
      </c>
      <c r="H44" s="2" t="inlineStr">
        <is>
          <t>2018-12-10T04:53:59-07:00</t>
        </is>
      </c>
      <c r="I44" s="2" t="inlineStr">
        <is>
          <t>3515444894</t>
        </is>
      </c>
      <c r="J44" s="2" t="inlineStr">
        <is>
          <t>https://itunes.apple.com/lt/reviews/id553638799</t>
        </is>
      </c>
      <c r="K44" s="2" t="n">
        <v>1</v>
      </c>
    </row>
    <row r="45">
      <c r="A45" s="2" t="inlineStr">
        <is>
          <t>Lithuania</t>
        </is>
      </c>
      <c r="B45" s="2" t="inlineStr">
        <is>
          <t>lt</t>
        </is>
      </c>
      <c r="C45" s="2" t="n">
        <v>5</v>
      </c>
      <c r="D45" s="3" t="inlineStr">
        <is>
          <t>Puikiai atnaujintas appsas!</t>
        </is>
      </c>
      <c r="E45" s="3" t="inlineStr">
        <is>
          <t>Viskas ko reikia kasdienems operacijoms atlikti</t>
        </is>
      </c>
      <c r="F45" s="2" t="inlineStr">
        <is>
          <t>Agne Kotryna</t>
        </is>
      </c>
      <c r="G45" s="2" t="inlineStr">
        <is>
          <t>12.9</t>
        </is>
      </c>
      <c r="H45" s="2" t="inlineStr">
        <is>
          <t>2018-11-15T00:57:02-07:00</t>
        </is>
      </c>
      <c r="I45" s="2" t="inlineStr">
        <is>
          <t>3419869952</t>
        </is>
      </c>
      <c r="J45" s="2" t="inlineStr">
        <is>
          <t>https://itunes.apple.com/lt/reviews/id859082339</t>
        </is>
      </c>
      <c r="K45" s="2" t="n">
        <v>1</v>
      </c>
    </row>
    <row r="46">
      <c r="A46" s="2" t="inlineStr">
        <is>
          <t>Lithuania</t>
        </is>
      </c>
      <c r="B46" s="2" t="inlineStr">
        <is>
          <t>lt</t>
        </is>
      </c>
      <c r="C46" s="2" t="n">
        <v>1</v>
      </c>
      <c r="D46" s="3" t="inlineStr">
        <is>
          <t>Labai blogai</t>
        </is>
      </c>
      <c r="E46" s="3" t="inlineStr">
        <is>
          <t>Nei senoje, nei atnaujintoje programėleje suprasti sąskaitos likučii. Programėleje matau:
1,874.00 € (975.42 €)
Sąskaita
LTXX XXXX....
Kaip reikia suprasti, ką šitie skaičiai reiškia?</t>
        </is>
      </c>
      <c r="F46" s="2" t="inlineStr">
        <is>
          <t>Iggypopig</t>
        </is>
      </c>
      <c r="G46" s="2" t="inlineStr">
        <is>
          <t>12.6</t>
        </is>
      </c>
      <c r="H46" s="2" t="inlineStr">
        <is>
          <t>2018-07-03T08:19:02-07:00</t>
        </is>
      </c>
      <c r="I46" s="2" t="inlineStr">
        <is>
          <t>2828538036</t>
        </is>
      </c>
      <c r="J46" s="2" t="inlineStr">
        <is>
          <t>https://itunes.apple.com/lt/reviews/id285353939</t>
        </is>
      </c>
      <c r="K46" s="2" t="n">
        <v>1</v>
      </c>
    </row>
    <row r="47">
      <c r="A47" s="2" t="inlineStr">
        <is>
          <t>Lithuania</t>
        </is>
      </c>
      <c r="B47" s="2" t="inlineStr">
        <is>
          <t>lt</t>
        </is>
      </c>
      <c r="C47" s="2" t="n">
        <v>4</v>
      </c>
      <c r="D47" s="3" t="inlineStr">
        <is>
          <t>Pagaliau Quick Balance</t>
        </is>
      </c>
      <c r="E47" s="3" t="inlineStr">
        <is>
          <t>Džiaugiuosi, su naujuoju atnaujinimu atsirado greitojo likučio funkcija! Pirmyn, tikiuosi ir daugiau naujienų!</t>
        </is>
      </c>
      <c r="F47" s="2" t="inlineStr">
        <is>
          <t>epravilionis</t>
        </is>
      </c>
      <c r="G47" s="2" t="inlineStr">
        <is>
          <t>12.5</t>
        </is>
      </c>
      <c r="H47" s="2" t="inlineStr">
        <is>
          <t>2018-06-20T00:18:45-07:00</t>
        </is>
      </c>
      <c r="I47" s="2" t="inlineStr">
        <is>
          <t>2729615807</t>
        </is>
      </c>
      <c r="J47" s="2" t="inlineStr">
        <is>
          <t>https://itunes.apple.com/lt/reviews/id129666046</t>
        </is>
      </c>
      <c r="K47" s="2" t="n">
        <v>1</v>
      </c>
    </row>
    <row r="48">
      <c r="A48" s="2" t="inlineStr">
        <is>
          <t>Lithuania</t>
        </is>
      </c>
      <c r="B48" s="2" t="inlineStr">
        <is>
          <t>lt</t>
        </is>
      </c>
      <c r="C48" s="2" t="n">
        <v>1</v>
      </c>
      <c r="D48" s="3" t="inlineStr">
        <is>
          <t>Neišsaugo prisijungimo duomenų</t>
        </is>
      </c>
      <c r="E48" s="3" t="inlineStr">
        <is>
          <t>Jums turėtų būti gėda, kai per 3-4 mėnesius nuo launch'o nesugebate įdiegti vartotojo prisijungimo duomenų išsaugojimo. Šitas apps'as yra visiškai useless, kol tas nebus padaryta. Man 100 kart patogiau jungtis per naršyklę, kur Safari turi išsaugojęs visus duomenis.</t>
        </is>
      </c>
      <c r="F48" s="2" t="inlineStr">
        <is>
          <t>Pauliusl</t>
        </is>
      </c>
      <c r="G48" s="2" t="inlineStr">
        <is>
          <t>10.10</t>
        </is>
      </c>
      <c r="H48" s="2" t="inlineStr">
        <is>
          <t>2017-07-26T01:00:22-07:00</t>
        </is>
      </c>
      <c r="I48" s="2" t="inlineStr">
        <is>
          <t>1698765544</t>
        </is>
      </c>
      <c r="J48" s="2" t="inlineStr">
        <is>
          <t>https://itunes.apple.com/lt/reviews/id196813315</t>
        </is>
      </c>
      <c r="K48" s="2" t="n">
        <v>1</v>
      </c>
    </row>
    <row r="49">
      <c r="A49" s="2" t="inlineStr">
        <is>
          <t>Lithuania</t>
        </is>
      </c>
      <c r="B49" s="2" t="inlineStr">
        <is>
          <t>lt</t>
        </is>
      </c>
      <c r="C49" s="2" t="n">
        <v>1</v>
      </c>
      <c r="D49" s="3" t="inlineStr">
        <is>
          <t>Mobilus parašas neveikia</t>
        </is>
      </c>
      <c r="E49" s="3" t="inlineStr">
        <is>
          <t>Jungiantis su iPhone su mobiliu parašu neveikia, iškrenta pranešimas Sistemos klaida, su kodu generatoriumi prisijungti pavyksta.</t>
        </is>
      </c>
      <c r="F49" s="2" t="inlineStr">
        <is>
          <t>B-NOVO</t>
        </is>
      </c>
      <c r="G49" s="2" t="inlineStr">
        <is>
          <t>10.8</t>
        </is>
      </c>
      <c r="H49" s="2" t="inlineStr">
        <is>
          <t>2017-04-25T23:18:55-07:00</t>
        </is>
      </c>
      <c r="I49" s="2" t="inlineStr">
        <is>
          <t>1597870263</t>
        </is>
      </c>
      <c r="J49" s="2" t="inlineStr">
        <is>
          <t>https://itunes.apple.com/lt/reviews/id156437961</t>
        </is>
      </c>
      <c r="K49" s="2" t="n">
        <v>1</v>
      </c>
    </row>
    <row r="50">
      <c r="A50" s="2" t="inlineStr">
        <is>
          <t>Lithuania</t>
        </is>
      </c>
      <c r="B50" s="2" t="inlineStr">
        <is>
          <t>lt</t>
        </is>
      </c>
      <c r="C50" s="2" t="n">
        <v>2</v>
      </c>
      <c r="D50" s="3" t="inlineStr">
        <is>
          <t>Labai ribotos galimybės</t>
        </is>
      </c>
      <c r="E50" s="3" t="inlineStr">
        <is>
          <t>Negalima net vartotojo vardo išsaugoti.</t>
        </is>
      </c>
      <c r="F50" s="2" t="inlineStr">
        <is>
          <t>Vytautask</t>
        </is>
      </c>
      <c r="G50" s="2" t="inlineStr">
        <is>
          <t>10.8</t>
        </is>
      </c>
      <c r="H50" s="2" t="inlineStr">
        <is>
          <t>2017-04-24T20:12:32-07:00</t>
        </is>
      </c>
      <c r="I50" s="2" t="inlineStr">
        <is>
          <t>1596957227</t>
        </is>
      </c>
      <c r="J50" s="2" t="inlineStr">
        <is>
          <t>https://itunes.apple.com/lt/reviews/id108775044</t>
        </is>
      </c>
      <c r="K50" s="2" t="n">
        <v>1</v>
      </c>
    </row>
    <row r="51">
      <c r="A51" s="2" t="inlineStr">
        <is>
          <t>Lithuania</t>
        </is>
      </c>
      <c r="B51" s="2" t="inlineStr">
        <is>
          <t>lt</t>
        </is>
      </c>
      <c r="C51" s="2" t="n">
        <v>1</v>
      </c>
      <c r="D51" s="3" t="inlineStr">
        <is>
          <t>Lithuania</t>
        </is>
      </c>
      <c r="E51" s="3" t="inlineStr">
        <is>
          <t>Does not support Lithuanian clients :(</t>
        </is>
      </c>
      <c r="F51" s="2" t="inlineStr">
        <is>
          <t>Dzonis5</t>
        </is>
      </c>
      <c r="G51" s="2" t="inlineStr">
        <is>
          <t>9</t>
        </is>
      </c>
      <c r="H51" s="2" t="inlineStr">
        <is>
          <t>2016-04-28T03:46:03-07:00</t>
        </is>
      </c>
      <c r="I51" s="2" t="inlineStr">
        <is>
          <t>1370077302</t>
        </is>
      </c>
      <c r="J51" s="2" t="inlineStr">
        <is>
          <t>https://itunes.apple.com/lt/reviews/id283590754</t>
        </is>
      </c>
      <c r="K51" s="2" t="n">
        <v>1</v>
      </c>
    </row>
    <row r="52">
      <c r="A52" s="2" t="inlineStr">
        <is>
          <t>Lithuania</t>
        </is>
      </c>
      <c r="B52" s="2" t="inlineStr">
        <is>
          <t>lt</t>
        </is>
      </c>
      <c r="C52" s="2" t="n">
        <v>2</v>
      </c>
      <c r="D52" s="3" t="inlineStr">
        <is>
          <t>Tik Latvijai</t>
        </is>
      </c>
      <c r="E52" s="3" t="inlineStr">
        <is>
          <t>Nepalaiko Lietuvos klientų. Neįmanoma prisijungti prie internetinės bankininkystės. :(</t>
        </is>
      </c>
      <c r="F52" s="2" t="inlineStr">
        <is>
          <t>bladò</t>
        </is>
      </c>
      <c r="G52" s="2" t="inlineStr">
        <is>
          <t>2.1</t>
        </is>
      </c>
      <c r="H52" s="2" t="inlineStr">
        <is>
          <t>2013-05-06T21:24:34-07:00</t>
        </is>
      </c>
      <c r="I52" s="2" t="inlineStr">
        <is>
          <t>800476396</t>
        </is>
      </c>
      <c r="J52" s="2" t="inlineStr">
        <is>
          <t>https://itunes.apple.com/lt/reviews/id270894101</t>
        </is>
      </c>
      <c r="K52" s="2" t="n">
        <v>1</v>
      </c>
    </row>
    <row r="53">
      <c r="A53" s="2" t="inlineStr">
        <is>
          <t>Latvia</t>
        </is>
      </c>
      <c r="B53" s="2" t="inlineStr">
        <is>
          <t>lv</t>
        </is>
      </c>
      <c r="C53" s="2" t="n">
        <v>2</v>
      </c>
      <c r="D53" s="3" t="inlineStr">
        <is>
          <t>not easy</t>
        </is>
      </c>
      <c r="E53" s="3" t="inlineStr">
        <is>
          <t>not easy and hard to use app</t>
        </is>
      </c>
      <c r="F53" s="2" t="inlineStr">
        <is>
          <t>B.Pedra</t>
        </is>
      </c>
      <c r="G53" s="2" t="inlineStr">
        <is>
          <t>46.6</t>
        </is>
      </c>
      <c r="H53" s="2" t="inlineStr">
        <is>
          <t>2026-09-23T01:39:49-07:00</t>
        </is>
      </c>
      <c r="I53" s="2" t="inlineStr">
        <is>
          <t>14583170206</t>
        </is>
      </c>
      <c r="J53" s="2" t="inlineStr">
        <is>
          <t>https://itunes.apple.com/lv/reviews/id1795631204</t>
        </is>
      </c>
      <c r="K53" s="2" t="n">
        <v>1</v>
      </c>
    </row>
    <row r="54">
      <c r="A54" s="2" t="inlineStr">
        <is>
          <t>Latvia</t>
        </is>
      </c>
      <c r="B54" s="2" t="inlineStr">
        <is>
          <t>lv</t>
        </is>
      </c>
      <c r="C54" s="2" t="n">
        <v>1</v>
      </c>
      <c r="D54" s="3" t="inlineStr">
        <is>
          <t>Мне не нравится</t>
        </is>
      </c>
      <c r="E54" s="3" t="inlineStr">
        <is>
          <t>Очень странно убрать русский язык в Латвии, но оставить а Литве и Эстонии.</t>
        </is>
      </c>
      <c r="F54" s="2" t="inlineStr">
        <is>
          <t>dmi3j</t>
        </is>
      </c>
      <c r="G54" s="2" t="inlineStr">
        <is>
          <t>46.6</t>
        </is>
      </c>
      <c r="H54" s="2" t="inlineStr">
        <is>
          <t>2026-09-20T23:27:49-07:00</t>
        </is>
      </c>
      <c r="I54" s="2" t="inlineStr">
        <is>
          <t>14575159952</t>
        </is>
      </c>
      <c r="J54" s="2" t="inlineStr">
        <is>
          <t>https://itunes.apple.com/lv/reviews/id178776926</t>
        </is>
      </c>
      <c r="K54" s="2" t="n">
        <v>1</v>
      </c>
    </row>
    <row r="55">
      <c r="A55" s="2" t="inlineStr">
        <is>
          <t>Latvia</t>
        </is>
      </c>
      <c r="B55" s="2" t="inlineStr">
        <is>
          <t>lv</t>
        </is>
      </c>
      <c r="C55" s="2" t="n">
        <v>2</v>
      </c>
      <c r="D55" s="3" t="inlineStr">
        <is>
          <t>Languages</t>
        </is>
      </c>
      <c r="E55" s="3" t="inlineStr">
        <is>
          <t>Would be nice to respect your users</t>
        </is>
      </c>
      <c r="F55" s="2" t="inlineStr">
        <is>
          <t>Karina17d</t>
        </is>
      </c>
      <c r="G55" s="2" t="inlineStr">
        <is>
          <t>46.6</t>
        </is>
      </c>
      <c r="H55" s="2" t="inlineStr">
        <is>
          <t>2026-09-20T04:04:21-07:00</t>
        </is>
      </c>
      <c r="I55" s="2" t="inlineStr">
        <is>
          <t>14571829960</t>
        </is>
      </c>
      <c r="J55" s="2" t="inlineStr">
        <is>
          <t>https://itunes.apple.com/lv/reviews/id1074032706</t>
        </is>
      </c>
      <c r="K55" s="2" t="n">
        <v>1</v>
      </c>
    </row>
    <row r="56">
      <c r="A56" s="2" t="inlineStr">
        <is>
          <t>Latvia</t>
        </is>
      </c>
      <c r="B56" s="2" t="inlineStr">
        <is>
          <t>lv</t>
        </is>
      </c>
      <c r="C56" s="2" t="n">
        <v>1</v>
      </c>
      <c r="D56" s="3" t="inlineStr">
        <is>
          <t>Built for the bank</t>
        </is>
      </c>
      <c r="E56" s="3" t="inlineStr">
        <is>
          <t>Poor language choice. Also full of ads. All the things you dont need.</t>
        </is>
      </c>
      <c r="F56" s="2" t="inlineStr">
        <is>
          <t>bor1s</t>
        </is>
      </c>
      <c r="G56" s="2" t="inlineStr">
        <is>
          <t>46.6</t>
        </is>
      </c>
      <c r="H56" s="2" t="inlineStr">
        <is>
          <t>2026-09-19T13:33:39-07:00</t>
        </is>
      </c>
      <c r="I56" s="2" t="inlineStr">
        <is>
          <t>14569716155</t>
        </is>
      </c>
      <c r="J56" s="2" t="inlineStr">
        <is>
          <t>https://itunes.apple.com/lv/reviews/id234315548</t>
        </is>
      </c>
      <c r="K56" s="2" t="n">
        <v>1</v>
      </c>
    </row>
    <row r="57">
      <c r="A57" s="2" t="inlineStr">
        <is>
          <t>Latvia</t>
        </is>
      </c>
      <c r="B57" s="2" t="inlineStr">
        <is>
          <t>lv</t>
        </is>
      </c>
      <c r="C57" s="2" t="n">
        <v>1</v>
      </c>
      <c r="D57" s="3" t="inlineStr">
        <is>
          <t>Zero support and feedback</t>
        </is>
      </c>
      <c r="E57" s="3" t="inlineStr">
        <is>
          <t>Problem with login, this app already more than half year has  issue with login, it doesn't remember your login and need everytime fill name, it isn't matter chosed you "remember login" or not. And everytime after login it shows "Error. Something gone wrong." I reported about problem to support but they didn't fixed or normally replied, but asked my passport data. Also this app has a lot of cutted off possibilities if compare with internet bank web page, that cause stupid situation then need app to login in web page to change something. At one device I need two different logins to do one simple thing.
Update: during more than 4 months this team didn't fixed biometric login, just by pin. Peace of s...t this banking app.</t>
        </is>
      </c>
      <c r="F57" s="2" t="inlineStr">
        <is>
          <t>Emelint</t>
        </is>
      </c>
      <c r="G57" s="2" t="inlineStr">
        <is>
          <t>46.4</t>
        </is>
      </c>
      <c r="H57" s="2" t="inlineStr">
        <is>
          <t>2026-08-20T23:00:59-07:00</t>
        </is>
      </c>
      <c r="I57" s="2" t="inlineStr">
        <is>
          <t>14453623753</t>
        </is>
      </c>
      <c r="J57" s="2" t="inlineStr">
        <is>
          <t>https://itunes.apple.com/lv/reviews/id1175503973</t>
        </is>
      </c>
      <c r="K57" s="2" t="n">
        <v>1</v>
      </c>
    </row>
    <row r="58">
      <c r="A58" s="2" t="inlineStr">
        <is>
          <t>Latvia</t>
        </is>
      </c>
      <c r="B58" s="2" t="inlineStr">
        <is>
          <t>lv</t>
        </is>
      </c>
      <c r="C58" s="2" t="n">
        <v>2</v>
      </c>
      <c r="D58" s="3" t="inlineStr">
        <is>
          <t>Nedarbojas korekti aplikācija</t>
        </is>
      </c>
      <c r="E58" s="3" t="inlineStr">
        <is>
          <t>Jau divas nedēļas nevaru apskatīties vai nu privāto vai uzņēmuma kontu, caur aplikāciju. Web versija visu var redzēt, bet tā mani tracina, jo nav labi pārskatāma.
Aplikāciju esmu izdzēsusi jau 4x un telefonu restartējusi katru reizi. 
Pirmo dienu applikacija darbojas kā nākas un tad nākamajā vairāk nē. 
Reāli sāku palikt dusmīga!! Nevaru normāli rēķinus samaksāt, ja visu laiku vajag restartet app un atjaunot MobileScan, kas ir problemātiski, jo katru reizi ir jaskene savs ID.
Salabojojiet beidzot savu aplikāciju!!!!!</t>
        </is>
      </c>
      <c r="F58" s="2" t="inlineStr">
        <is>
          <t>Leastar2289</t>
        </is>
      </c>
      <c r="G58" s="2" t="inlineStr">
        <is>
          <t>46.4</t>
        </is>
      </c>
      <c r="H58" s="2" t="inlineStr">
        <is>
          <t>2026-07-13T12:01:12-07:00</t>
        </is>
      </c>
      <c r="I58" s="2" t="inlineStr">
        <is>
          <t>14299202795</t>
        </is>
      </c>
      <c r="J58" s="2" t="inlineStr">
        <is>
          <t>https://itunes.apple.com/lv/reviews/id329005494</t>
        </is>
      </c>
      <c r="K58" s="2" t="n">
        <v>1</v>
      </c>
    </row>
    <row r="59">
      <c r="A59" s="2" t="inlineStr">
        <is>
          <t>Latvia</t>
        </is>
      </c>
      <c r="B59" s="2" t="inlineStr">
        <is>
          <t>lv</t>
        </is>
      </c>
      <c r="C59" s="2" t="n">
        <v>1</v>
      </c>
      <c r="D59" s="3" t="inlineStr">
        <is>
          <t>Parslegsana starp kontiem</t>
        </is>
      </c>
      <c r="E59" s="3" t="inlineStr">
        <is>
          <t>Jau nedēļu aplikācija nestrādā ! Ne no datora nevar Ienākt konta ne no telefona. Lai dabūt piekļuvi vaj dokumentus jascane, va dzēst un lejupielādēt no jauna.</t>
        </is>
      </c>
      <c r="F59" s="2" t="inlineStr">
        <is>
          <t>Cienījamais</t>
        </is>
      </c>
      <c r="G59" s="2" t="inlineStr">
        <is>
          <t>46.4</t>
        </is>
      </c>
      <c r="H59" s="2" t="inlineStr">
        <is>
          <t>2026-06-30T06:27:45-07:00</t>
        </is>
      </c>
      <c r="I59" s="2" t="inlineStr">
        <is>
          <t>14245121606</t>
        </is>
      </c>
      <c r="J59" s="2" t="inlineStr">
        <is>
          <t>https://itunes.apple.com/lv/reviews/id1939142419</t>
        </is>
      </c>
      <c r="K59" s="2" t="n">
        <v>1</v>
      </c>
    </row>
    <row r="60">
      <c r="A60" s="2" t="inlineStr">
        <is>
          <t>Latvia</t>
        </is>
      </c>
      <c r="B60" s="2" t="inlineStr">
        <is>
          <t>lv</t>
        </is>
      </c>
      <c r="C60" s="2" t="n">
        <v>1</v>
      </c>
      <c r="D60" s="3" t="inlineStr">
        <is>
          <t>Requires canera access</t>
        </is>
      </c>
      <c r="E60" s="3" t="inlineStr">
        <is>
          <t>Requires camera access for face scan despite the customer has other authentication tools.</t>
        </is>
      </c>
      <c r="F60" s="2" t="inlineStr">
        <is>
          <t>Oblivious Reawake</t>
        </is>
      </c>
      <c r="G60" s="2" t="inlineStr">
        <is>
          <t>46.1</t>
        </is>
      </c>
      <c r="H60" s="2" t="inlineStr">
        <is>
          <t>2026-06-10T01:16:20-07:00</t>
        </is>
      </c>
      <c r="I60" s="2" t="inlineStr">
        <is>
          <t>14165218601</t>
        </is>
      </c>
      <c r="J60" s="2" t="inlineStr">
        <is>
          <t>https://itunes.apple.com/lv/reviews/id1931282409</t>
        </is>
      </c>
      <c r="K60" s="2" t="n">
        <v>1</v>
      </c>
    </row>
    <row r="61">
      <c r="A61" s="2" t="inlineStr">
        <is>
          <t>Latvia</t>
        </is>
      </c>
      <c r="B61" s="2" t="inlineStr">
        <is>
          <t>lv</t>
        </is>
      </c>
      <c r="C61" s="2" t="n">
        <v>5</v>
      </c>
      <c r="D61" s="3" t="inlineStr">
        <is>
          <t>Зависает</t>
        </is>
      </c>
      <c r="E61" s="3" t="inlineStr">
        <is>
          <t>Периодически зависает на от какой нибудь страничке приложения. Не понятно как перезапустить. А когда нужно что-то срочно сделать, оплатить это очень мешает.</t>
        </is>
      </c>
      <c r="F61" s="2" t="inlineStr">
        <is>
          <t>Irinaromance</t>
        </is>
      </c>
      <c r="G61" s="2" t="inlineStr">
        <is>
          <t>46.1</t>
        </is>
      </c>
      <c r="H61" s="2" t="inlineStr">
        <is>
          <t>2026-05-29T02:05:01-07:00</t>
        </is>
      </c>
      <c r="I61" s="2" t="inlineStr">
        <is>
          <t>14118721418</t>
        </is>
      </c>
      <c r="J61" s="2" t="inlineStr">
        <is>
          <t>https://itunes.apple.com/lv/reviews/id1774791733</t>
        </is>
      </c>
      <c r="K61" s="2" t="n">
        <v>1</v>
      </c>
    </row>
    <row r="62">
      <c r="A62" s="2" t="inlineStr">
        <is>
          <t>Latvia</t>
        </is>
      </c>
      <c r="B62" s="2" t="inlineStr">
        <is>
          <t>lv</t>
        </is>
      </c>
      <c r="C62" s="2" t="n">
        <v>1</v>
      </c>
      <c r="D62" s="3" t="inlineStr">
        <is>
          <t>Password</t>
        </is>
      </c>
      <c r="E62" s="3" t="inlineStr">
        <is>
          <t>Very laggy, i cant make new password</t>
        </is>
      </c>
      <c r="F62" s="2" t="inlineStr">
        <is>
          <t>Hahakdkakw</t>
        </is>
      </c>
      <c r="G62" s="2" t="inlineStr">
        <is>
          <t>46.1</t>
        </is>
      </c>
      <c r="H62" s="2" t="inlineStr">
        <is>
          <t>2026-05-12T03:07:56-07:00</t>
        </is>
      </c>
      <c r="I62" s="2" t="inlineStr">
        <is>
          <t>14055672060</t>
        </is>
      </c>
      <c r="J62" s="2" t="inlineStr">
        <is>
          <t>https://itunes.apple.com/lv/reviews/id1015219998</t>
        </is>
      </c>
      <c r="K62" s="2" t="n">
        <v>1</v>
      </c>
    </row>
    <row r="63">
      <c r="A63" s="2" t="inlineStr">
        <is>
          <t>Latvia</t>
        </is>
      </c>
      <c r="B63" s="2" t="inlineStr">
        <is>
          <t>lv</t>
        </is>
      </c>
      <c r="C63" s="2" t="n">
        <v>5</v>
      </c>
      <c r="D63" s="3" t="inlineStr">
        <is>
          <t>Best</t>
        </is>
      </c>
      <c r="E63" s="3" t="inlineStr">
        <is>
          <t>Best of the Best</t>
        </is>
      </c>
      <c r="F63" s="2" t="inlineStr">
        <is>
          <t>AnnaJe</t>
        </is>
      </c>
      <c r="G63" s="2" t="inlineStr">
        <is>
          <t>46.1</t>
        </is>
      </c>
      <c r="H63" s="2" t="inlineStr">
        <is>
          <t>2026-05-10T09:58:21-07:00</t>
        </is>
      </c>
      <c r="I63" s="2" t="inlineStr">
        <is>
          <t>14049672987</t>
        </is>
      </c>
      <c r="J63" s="2" t="inlineStr">
        <is>
          <t>https://itunes.apple.com/lv/reviews/id374669959</t>
        </is>
      </c>
      <c r="K63" s="2" t="n">
        <v>1</v>
      </c>
    </row>
    <row r="64">
      <c r="A64" s="2" t="inlineStr">
        <is>
          <t>Latvia</t>
        </is>
      </c>
      <c r="B64" s="2" t="inlineStr">
        <is>
          <t>lv</t>
        </is>
      </c>
      <c r="C64" s="2" t="n">
        <v>3</v>
      </c>
      <c r="D64" s="3" t="inlineStr">
        <is>
          <t>Titulis</t>
        </is>
      </c>
      <c r="E64" s="3" t="inlineStr">
        <is>
          <t>Lūdzu, izlabojiet, lai versija priekš iOS16 (iphone8) var lietot Atlikums funkciju..
Šobrīd vairs tālāk par login logu nevar tikt..
(iPhone 8/X vēl saņem security updates, bet nevar uz iOS 17 upgradot)</t>
        </is>
      </c>
      <c r="F64" s="2" t="inlineStr">
        <is>
          <t>NeviensNekurNekad</t>
        </is>
      </c>
      <c r="G64" s="2" t="inlineStr">
        <is>
          <t>45.0</t>
        </is>
      </c>
      <c r="H64" s="2" t="inlineStr">
        <is>
          <t>2026-04-25T17:35:06-07:00</t>
        </is>
      </c>
      <c r="I64" s="2" t="inlineStr">
        <is>
          <t>13997219931</t>
        </is>
      </c>
      <c r="J64" s="2" t="inlineStr">
        <is>
          <t>https://itunes.apple.com/lv/reviews/id1182576565</t>
        </is>
      </c>
      <c r="K64" s="2" t="n">
        <v>1</v>
      </c>
    </row>
    <row r="65">
      <c r="A65" s="2" t="inlineStr">
        <is>
          <t>Latvia</t>
        </is>
      </c>
      <c r="B65" s="2" t="inlineStr">
        <is>
          <t>lv</t>
        </is>
      </c>
      <c r="C65" s="2" t="n">
        <v>5</v>
      </c>
      <c r="D65" s="3" t="inlineStr">
        <is>
          <t>Maksājums</t>
        </is>
      </c>
      <c r="E65" s="3" t="inlineStr">
        <is>
          <t>Ātri un ērti</t>
        </is>
      </c>
      <c r="F65" s="2" t="inlineStr">
        <is>
          <t>Nordstock</t>
        </is>
      </c>
      <c r="G65" s="2" t="inlineStr">
        <is>
          <t>46.0</t>
        </is>
      </c>
      <c r="H65" s="2" t="inlineStr">
        <is>
          <t>2026-04-21T00:09:34-07:00</t>
        </is>
      </c>
      <c r="I65" s="2" t="inlineStr">
        <is>
          <t>13980784641</t>
        </is>
      </c>
      <c r="J65" s="2" t="inlineStr">
        <is>
          <t>https://itunes.apple.com/lv/reviews/id474740478</t>
        </is>
      </c>
      <c r="K65" s="2" t="n">
        <v>1</v>
      </c>
    </row>
    <row r="66">
      <c r="A66" s="2" t="inlineStr">
        <is>
          <t>Latvia</t>
        </is>
      </c>
      <c r="B66" s="2" t="inlineStr">
        <is>
          <t>lv</t>
        </is>
      </c>
      <c r="C66" s="2" t="n">
        <v>5</v>
      </c>
      <c r="D66" s="3" t="inlineStr">
        <is>
          <t>Good ap</t>
        </is>
      </c>
      <c r="E66" s="3" t="inlineStr">
        <is>
          <t>Good</t>
        </is>
      </c>
      <c r="F66" s="2" t="inlineStr">
        <is>
          <t>BMX boy673</t>
        </is>
      </c>
      <c r="G66" s="2" t="inlineStr">
        <is>
          <t>46.0</t>
        </is>
      </c>
      <c r="H66" s="2" t="inlineStr">
        <is>
          <t>2026-04-03T03:53:43-07:00</t>
        </is>
      </c>
      <c r="I66" s="2" t="inlineStr">
        <is>
          <t>13917409833</t>
        </is>
      </c>
      <c r="J66" s="2" t="inlineStr">
        <is>
          <t>https://itunes.apple.com/lv/reviews/id1907543400</t>
        </is>
      </c>
      <c r="K66" s="2" t="n">
        <v>1</v>
      </c>
    </row>
    <row r="67">
      <c r="A67" s="2" t="inlineStr">
        <is>
          <t>Latvia</t>
        </is>
      </c>
      <c r="B67" s="2" t="inlineStr">
        <is>
          <t>lv</t>
        </is>
      </c>
      <c r="C67" s="2" t="n">
        <v>1</v>
      </c>
      <c r="D67" s="3" t="inlineStr">
        <is>
          <t>Izrādās lai piekłūtu kontam ir nepieciešams jaunākās versijas IOS, pārējiem banka telefonā slēgta</t>
        </is>
      </c>
      <c r="E67" s="3" t="inlineStr">
        <is>
          <t>Łoti negorši no CITADELE puses nobloket iespēju ieiet internet bankas aplikacija tikai tāpēc, ka nepatīk programmaturas versija, galīgi nav forši kā klientam pēkšñi attapties, ka pieeja bankai ir ietobežota tikai tāpēc ka nepatīk IOS versija, neko šādu no bankas gan negaidīju !</t>
        </is>
      </c>
      <c r="F67" s="2" t="inlineStr">
        <is>
          <t>Nonnn. N</t>
        </is>
      </c>
      <c r="G67" s="2" t="inlineStr">
        <is>
          <t>45.0</t>
        </is>
      </c>
      <c r="H67" s="2" t="inlineStr">
        <is>
          <t>2026-02-02T05:59:32-07:00</t>
        </is>
      </c>
      <c r="I67" s="2" t="inlineStr">
        <is>
          <t>13704714125</t>
        </is>
      </c>
      <c r="J67" s="2" t="inlineStr">
        <is>
          <t>https://itunes.apple.com/lv/reviews/id1344867938</t>
        </is>
      </c>
      <c r="K67" s="2" t="n">
        <v>1</v>
      </c>
    </row>
    <row r="68">
      <c r="A68" s="2" t="inlineStr">
        <is>
          <t>Latvia</t>
        </is>
      </c>
      <c r="B68" s="2" t="inlineStr">
        <is>
          <t>lv</t>
        </is>
      </c>
      <c r="C68" s="2" t="n">
        <v>5</v>
      </c>
      <c r="D68" s="3" t="inlineStr">
        <is>
          <t>Pro Bank</t>
        </is>
      </c>
      <c r="E68" s="3" t="inlineStr">
        <is>
          <t>The bank is friendly, the staff are very helpful, and they assisted me a lot when I needed help.</t>
        </is>
      </c>
      <c r="F68" s="2" t="inlineStr">
        <is>
          <t>Chuyên nghiệp Bank</t>
        </is>
      </c>
      <c r="G68" s="2" t="inlineStr">
        <is>
          <t>45.7</t>
        </is>
      </c>
      <c r="H68" s="2" t="inlineStr">
        <is>
          <t>2026-01-22T23:54:22-07:00</t>
        </is>
      </c>
      <c r="I68" s="2" t="inlineStr">
        <is>
          <t>13665503813</t>
        </is>
      </c>
      <c r="J68" s="2" t="inlineStr">
        <is>
          <t>https://itunes.apple.com/lv/reviews/id1614644439</t>
        </is>
      </c>
      <c r="K68" s="2" t="n">
        <v>1</v>
      </c>
    </row>
    <row r="69">
      <c r="A69" s="2" t="inlineStr">
        <is>
          <t>Latvia</t>
        </is>
      </c>
      <c r="B69" s="2" t="inlineStr">
        <is>
          <t>lv</t>
        </is>
      </c>
      <c r="C69" s="2" t="n">
        <v>5</v>
      </c>
      <c r="D69" s="3" t="inlineStr">
        <is>
          <t>Forša aplikācija</t>
        </is>
      </c>
      <c r="E69" s="3" t="inlineStr">
        <is>
          <t>Lieliska aplikācija, strādā bez problèmām, var piekłūt ar pirkta nospieduma un saņemt notifikācijas par maksājumiem, citām bankām šādas opcijas nevienmēr ir</t>
        </is>
      </c>
      <c r="F69" s="2" t="inlineStr">
        <is>
          <t>Ine098</t>
        </is>
      </c>
      <c r="G69" s="2" t="inlineStr">
        <is>
          <t>45.7</t>
        </is>
      </c>
      <c r="H69" s="2" t="inlineStr">
        <is>
          <t>2026-01-15T02:19:42-07:00</t>
        </is>
      </c>
      <c r="I69" s="2" t="inlineStr">
        <is>
          <t>13635607369</t>
        </is>
      </c>
      <c r="J69" s="2" t="inlineStr">
        <is>
          <t>https://itunes.apple.com/lv/reviews/id601426458</t>
        </is>
      </c>
      <c r="K69" s="2" t="n">
        <v>1</v>
      </c>
    </row>
    <row r="70">
      <c r="A70" s="2" t="inlineStr">
        <is>
          <t>Latvia</t>
        </is>
      </c>
      <c r="B70" s="2" t="inlineStr">
        <is>
          <t>lv</t>
        </is>
      </c>
      <c r="C70" s="2" t="n">
        <v>1</v>
      </c>
      <c r="D70" s="3" t="inlineStr">
        <is>
          <t>Reklāmas aplikācija</t>
        </is>
      </c>
      <c r="E70" s="3" t="inlineStr">
        <is>
          <t>Tas ir noragašanas par lietotāju likt sadaļu kur Tev tamborē par “aktualitātēm” t.i. REKLĀMA!!! Pārejas sadaļas var mainīt vietām, bet šo nē. 110% besis par to!</t>
        </is>
      </c>
      <c r="F70" s="2" t="inlineStr">
        <is>
          <t>ivasap</t>
        </is>
      </c>
      <c r="G70" s="2" t="inlineStr">
        <is>
          <t>45.7</t>
        </is>
      </c>
      <c r="H70" s="2" t="inlineStr">
        <is>
          <t>2025-12-26T11:39:18-07:00</t>
        </is>
      </c>
      <c r="I70" s="2" t="inlineStr">
        <is>
          <t>13558125017</t>
        </is>
      </c>
      <c r="J70" s="2" t="inlineStr">
        <is>
          <t>https://itunes.apple.com/lv/reviews/id338039968</t>
        </is>
      </c>
      <c r="K70" s="2" t="n">
        <v>1</v>
      </c>
    </row>
    <row r="71">
      <c r="A71" s="2" t="inlineStr">
        <is>
          <t>Latvia</t>
        </is>
      </c>
      <c r="B71" s="2" t="inlineStr">
        <is>
          <t>lv</t>
        </is>
      </c>
      <c r="C71" s="2" t="n">
        <v>1</v>
      </c>
      <c r="D71" s="3" t="inlineStr">
        <is>
          <t>Forced updates</t>
        </is>
      </c>
      <c r="E71" s="3" t="inlineStr">
        <is>
          <t>Aplikācija vairs nestrādā jo man jāpērk jauns telefons, tā vismaz Citadele banka uzskata :)</t>
        </is>
      </c>
      <c r="F71" s="2" t="inlineStr">
        <is>
          <t>HelmutsR</t>
        </is>
      </c>
      <c r="G71" s="2" t="inlineStr">
        <is>
          <t>45.0</t>
        </is>
      </c>
      <c r="H71" s="2" t="inlineStr">
        <is>
          <t>2025-12-01T01:10:43-07:00</t>
        </is>
      </c>
      <c r="I71" s="2" t="inlineStr">
        <is>
          <t>13461819713</t>
        </is>
      </c>
      <c r="J71" s="2" t="inlineStr">
        <is>
          <t>https://itunes.apple.com/lv/reviews/id555983244</t>
        </is>
      </c>
      <c r="K71" s="2" t="n">
        <v>1</v>
      </c>
    </row>
    <row r="72">
      <c r="A72" s="2" t="inlineStr">
        <is>
          <t>Latvia</t>
        </is>
      </c>
      <c r="B72" s="2" t="inlineStr">
        <is>
          <t>lv</t>
        </is>
      </c>
      <c r="C72" s="2" t="n">
        <v>1</v>
      </c>
      <c r="D72" s="3" t="inlineStr">
        <is>
          <t>Stopped working on my Iphone X ios16. Thats bad service.</t>
        </is>
      </c>
      <c r="E72" s="3" t="inlineStr">
        <is>
          <t>Should work as long as I have this phone where app was installed. Bank wants me to buy a new phone. Now I got a new trouble to solve. Mau be time ti change bank?</t>
        </is>
      </c>
      <c r="F72" s="2" t="inlineStr">
        <is>
          <t>Janis Alnis</t>
        </is>
      </c>
      <c r="G72" s="2" t="inlineStr">
        <is>
          <t>45.0</t>
        </is>
      </c>
      <c r="H72" s="2" t="inlineStr">
        <is>
          <t>2025-10-11T04:10:17-07:00</t>
        </is>
      </c>
      <c r="I72" s="2" t="inlineStr">
        <is>
          <t>13252100973</t>
        </is>
      </c>
      <c r="J72" s="2" t="inlineStr">
        <is>
          <t>https://itunes.apple.com/lv/reviews/id1040374104</t>
        </is>
      </c>
      <c r="K72" s="2" t="n">
        <v>1</v>
      </c>
    </row>
    <row r="73">
      <c r="A73" s="2" t="inlineStr">
        <is>
          <t>Latvia</t>
        </is>
      </c>
      <c r="B73" s="2" t="inlineStr">
        <is>
          <t>lv</t>
        </is>
      </c>
      <c r="C73" s="2" t="n">
        <v>5</v>
      </c>
      <c r="D73" s="3" t="inlineStr">
        <is>
          <t>Favorite bank app</t>
        </is>
      </c>
      <c r="E73" s="3" t="inlineStr">
        <is>
          <t>Very nice banking app and simple to use too. My father has been using it for years, I was only about 11 or 12 years old when he got me my first Citadele credit card:) Since then also my mom started using this app and then my brother, seems like such a simple thing but it makes the transactions so much easier between us. We also really love Citadele rewards, recently I bought a delicious drink using my points, it was deffinetly worth it!😊</t>
        </is>
      </c>
      <c r="F73" s="2" t="inlineStr">
        <is>
          <t>CarryMilka</t>
        </is>
      </c>
      <c r="G73" s="2" t="inlineStr">
        <is>
          <t>45.5</t>
        </is>
      </c>
      <c r="H73" s="2" t="inlineStr">
        <is>
          <t>2025-10-08T05:48:31-07:00</t>
        </is>
      </c>
      <c r="I73" s="2" t="inlineStr">
        <is>
          <t>13239773092</t>
        </is>
      </c>
      <c r="J73" s="2" t="inlineStr">
        <is>
          <t>https://itunes.apple.com/lv/reviews/id1564549114</t>
        </is>
      </c>
      <c r="K73" s="2" t="n">
        <v>1</v>
      </c>
    </row>
    <row r="74">
      <c r="A74" s="2" t="inlineStr">
        <is>
          <t>Latvia</t>
        </is>
      </c>
      <c r="B74" s="2" t="inlineStr">
        <is>
          <t>lv</t>
        </is>
      </c>
      <c r="C74" s="2" t="n">
        <v>3</v>
      </c>
      <c r="D74" s="3" t="inlineStr">
        <is>
          <t>Ужасное обновление</t>
        </is>
      </c>
      <c r="E74" s="3" t="inlineStr">
        <is>
          <t>Постоянно глючит и выбрасывает с приложения!</t>
        </is>
      </c>
      <c r="F74" s="2" t="inlineStr">
        <is>
          <t>IzabelleM0909</t>
        </is>
      </c>
      <c r="G74" s="2" t="inlineStr">
        <is>
          <t>45.5</t>
        </is>
      </c>
      <c r="H74" s="2" t="inlineStr">
        <is>
          <t>2025-10-07T14:25:11-07:00</t>
        </is>
      </c>
      <c r="I74" s="2" t="inlineStr">
        <is>
          <t>13237307199</t>
        </is>
      </c>
      <c r="J74" s="2" t="inlineStr">
        <is>
          <t>https://itunes.apple.com/lv/reviews/id376387269</t>
        </is>
      </c>
      <c r="K74" s="2" t="n">
        <v>1</v>
      </c>
    </row>
    <row r="75">
      <c r="A75" s="2" t="inlineStr">
        <is>
          <t>Latvia</t>
        </is>
      </c>
      <c r="B75" s="2" t="inlineStr">
        <is>
          <t>lv</t>
        </is>
      </c>
      <c r="C75" s="2" t="n">
        <v>5</v>
      </c>
      <c r="D75" s="3" t="inlineStr">
        <is>
          <t>Nice</t>
        </is>
      </c>
      <c r="E75" s="3" t="inlineStr">
        <is>
          <t>Nice</t>
        </is>
      </c>
      <c r="F75" s="2" t="inlineStr">
        <is>
          <t>VAZaharovs</t>
        </is>
      </c>
      <c r="G75" s="2" t="inlineStr">
        <is>
          <t>45.3</t>
        </is>
      </c>
      <c r="H75" s="2" t="inlineStr">
        <is>
          <t>2025-09-30T00:54:50-07:00</t>
        </is>
      </c>
      <c r="I75" s="2" t="inlineStr">
        <is>
          <t>13203622921</t>
        </is>
      </c>
      <c r="J75" s="2" t="inlineStr">
        <is>
          <t>https://itunes.apple.com/lv/reviews/id1524302955</t>
        </is>
      </c>
      <c r="K75" s="2" t="n">
        <v>1</v>
      </c>
    </row>
    <row r="76">
      <c r="A76" s="2" t="inlineStr">
        <is>
          <t>Latvia</t>
        </is>
      </c>
      <c r="B76" s="2" t="inlineStr">
        <is>
          <t>lv</t>
        </is>
      </c>
      <c r="C76" s="2" t="n">
        <v>1</v>
      </c>
      <c r="D76" s="3" t="inlineStr">
        <is>
          <t>0,01 zvaigzne</t>
        </is>
      </c>
      <c r="E76" s="3" t="inlineStr">
        <is>
          <t>Sliktākā un nepārskatāmā internetbanka un aplikācija salīdzinājumā ar citām LV bankām</t>
        </is>
      </c>
      <c r="F76" s="2" t="inlineStr">
        <is>
          <t>Ainars-st</t>
        </is>
      </c>
      <c r="G76" s="2" t="inlineStr">
        <is>
          <t>45.3</t>
        </is>
      </c>
      <c r="H76" s="2" t="inlineStr">
        <is>
          <t>2025-09-26T08:13:49-07:00</t>
        </is>
      </c>
      <c r="I76" s="2" t="inlineStr">
        <is>
          <t>13187722367</t>
        </is>
      </c>
      <c r="J76" s="2" t="inlineStr">
        <is>
          <t>https://itunes.apple.com/lv/reviews/id302645165</t>
        </is>
      </c>
      <c r="K76" s="2" t="n">
        <v>1</v>
      </c>
    </row>
    <row r="77">
      <c r="A77" s="2" t="inlineStr">
        <is>
          <t>Latvia</t>
        </is>
      </c>
      <c r="B77" s="2" t="inlineStr">
        <is>
          <t>lv</t>
        </is>
      </c>
      <c r="C77" s="2" t="n">
        <v>1</v>
      </c>
      <c r="D77" s="3" t="inlineStr">
        <is>
          <t>Bad service</t>
        </is>
      </c>
      <c r="E77" s="3" t="inlineStr">
        <is>
          <t>Not recommend to use this bank. Trying to cheat with customers!</t>
        </is>
      </c>
      <c r="F77" s="2" t="inlineStr">
        <is>
          <t>Dennyuu</t>
        </is>
      </c>
      <c r="G77" s="2" t="inlineStr">
        <is>
          <t>45.1</t>
        </is>
      </c>
      <c r="H77" s="2" t="inlineStr">
        <is>
          <t>2025-05-19T06:23:28-07:00</t>
        </is>
      </c>
      <c r="I77" s="2" t="inlineStr">
        <is>
          <t>12673561062</t>
        </is>
      </c>
      <c r="J77" s="2" t="inlineStr">
        <is>
          <t>https://itunes.apple.com/lv/reviews/id634056739</t>
        </is>
      </c>
      <c r="K77" s="2" t="n">
        <v>1</v>
      </c>
    </row>
    <row r="78">
      <c r="A78" s="2" t="inlineStr">
        <is>
          <t>Latvia</t>
        </is>
      </c>
      <c r="B78" s="2" t="inlineStr">
        <is>
          <t>lv</t>
        </is>
      </c>
      <c r="C78" s="2" t="n">
        <v>5</v>
      </c>
      <c r="D78" s="3" t="inlineStr">
        <is>
          <t>Отличная аппликация</t>
        </is>
      </c>
      <c r="E78" s="3" t="inlineStr">
        <is>
          <t>Всё нравится</t>
        </is>
      </c>
      <c r="F78" s="2" t="inlineStr">
        <is>
          <t>Инара123</t>
        </is>
      </c>
      <c r="G78" s="2" t="inlineStr">
        <is>
          <t>45.1</t>
        </is>
      </c>
      <c r="H78" s="2" t="inlineStr">
        <is>
          <t>2025-05-15T12:29:11-07:00</t>
        </is>
      </c>
      <c r="I78" s="2" t="inlineStr">
        <is>
          <t>12659844420</t>
        </is>
      </c>
      <c r="J78" s="2" t="inlineStr">
        <is>
          <t>https://itunes.apple.com/lv/reviews/id1197238699</t>
        </is>
      </c>
      <c r="K78" s="2" t="n">
        <v>1</v>
      </c>
    </row>
    <row r="79">
      <c r="A79" s="2" t="inlineStr">
        <is>
          <t>Latvia</t>
        </is>
      </c>
      <c r="B79" s="2" t="inlineStr">
        <is>
          <t>lv</t>
        </is>
      </c>
      <c r="C79" s="2" t="n">
        <v>1</v>
      </c>
      <c r="D79" s="3" t="inlineStr">
        <is>
          <t>3D secure</t>
        </is>
      </c>
      <c r="E79" s="3" t="inlineStr">
        <is>
          <t>Don't display pop ap or never processing after confirm</t>
        </is>
      </c>
      <c r="F79" s="2" t="inlineStr">
        <is>
          <t>yavoitkun</t>
        </is>
      </c>
      <c r="G79" s="2" t="inlineStr">
        <is>
          <t>45.0</t>
        </is>
      </c>
      <c r="H79" s="2" t="inlineStr">
        <is>
          <t>2025-04-25T03:28:44-07:00</t>
        </is>
      </c>
      <c r="I79" s="2" t="inlineStr">
        <is>
          <t>12583785194</t>
        </is>
      </c>
      <c r="J79" s="2" t="inlineStr">
        <is>
          <t>https://itunes.apple.com/lv/reviews/id245236028</t>
        </is>
      </c>
      <c r="K79" s="2" t="n">
        <v>1</v>
      </c>
    </row>
    <row r="80">
      <c r="A80" s="2" t="inlineStr">
        <is>
          <t>Latvia</t>
        </is>
      </c>
      <c r="B80" s="2" t="inlineStr">
        <is>
          <t>lv</t>
        </is>
      </c>
      <c r="C80" s="2" t="n">
        <v>1</v>
      </c>
      <c r="D80" s="3" t="inlineStr">
        <is>
          <t>Mobile Scan</t>
        </is>
      </c>
      <c r="E80" s="3" t="inlineStr">
        <is>
          <t>Mobile scan isn't working as it did before. Now, when you need to enter your login number again and reach the section where you must input five digits, the mobile scan app doesn't let you in, displaying an incorrect PIN message. Only after refreshing the section does it approve your PIN. Poor service overall, and there is also no customer support available before 8:00 to provide direct assistance.</t>
        </is>
      </c>
      <c r="F80" s="2" t="inlineStr">
        <is>
          <t>Pāvils K</t>
        </is>
      </c>
      <c r="G80" s="2" t="inlineStr">
        <is>
          <t>45.0</t>
        </is>
      </c>
      <c r="H80" s="2" t="inlineStr">
        <is>
          <t>2025-04-06T21:35:05-07:00</t>
        </is>
      </c>
      <c r="I80" s="2" t="inlineStr">
        <is>
          <t>12513395456</t>
        </is>
      </c>
      <c r="J80" s="2" t="inlineStr">
        <is>
          <t>https://itunes.apple.com/lv/reviews/id1625623163</t>
        </is>
      </c>
      <c r="K80" s="2" t="n">
        <v>1</v>
      </c>
    </row>
    <row r="81">
      <c r="A81" s="2" t="inlineStr">
        <is>
          <t>Latvia</t>
        </is>
      </c>
      <c r="B81" s="2" t="inlineStr">
        <is>
          <t>lv</t>
        </is>
      </c>
      <c r="C81" s="2" t="n">
        <v>1</v>
      </c>
      <c r="D81" s="3" t="inlineStr">
        <is>
          <t>Jaunākā versija ļoti neērta</t>
        </is>
      </c>
      <c r="E81" s="3" t="inlineStr">
        <is>
          <t>Pēc pēdējā apdeita no ļoti patīkami intuitīvas, informatīvas un loģiski izkārtotas, aplikācija ir pārvērtusies par instagramu - liela, nekādu funkciju nepildoša bilde pa pusi ekrāna un visas noderīgās lietas sastumtas dziļi apakšlīmeņos. booo</t>
        </is>
      </c>
      <c r="F81" s="2" t="inlineStr">
        <is>
          <t>mjhdhcdrgv</t>
        </is>
      </c>
      <c r="G81" s="2" t="inlineStr">
        <is>
          <t>44.2</t>
        </is>
      </c>
      <c r="H81" s="2" t="inlineStr">
        <is>
          <t>2025-01-27T22:39:18-07:00</t>
        </is>
      </c>
      <c r="I81" s="2" t="inlineStr">
        <is>
          <t>12239895359</t>
        </is>
      </c>
      <c r="J81" s="2" t="inlineStr">
        <is>
          <t>https://itunes.apple.com/lv/reviews/id424619615</t>
        </is>
      </c>
      <c r="K81" s="2" t="n">
        <v>1</v>
      </c>
    </row>
    <row r="82">
      <c r="A82" s="2" t="inlineStr">
        <is>
          <t>Latvia</t>
        </is>
      </c>
      <c r="B82" s="2" t="inlineStr">
        <is>
          <t>lv</t>
        </is>
      </c>
      <c r="C82" s="2" t="n">
        <v>1</v>
      </c>
      <c r="D82" s="3" t="inlineStr">
        <is>
          <t>Don’t</t>
        </is>
      </c>
      <c r="E82" s="3" t="inlineStr">
        <is>
          <t>Dont upgrade. It is absolutely awful !!!</t>
        </is>
      </c>
      <c r="F82" s="2" t="inlineStr">
        <is>
          <t>ggggedxcv</t>
        </is>
      </c>
      <c r="G82" s="2" t="inlineStr">
        <is>
          <t>44.2</t>
        </is>
      </c>
      <c r="H82" s="2" t="inlineStr">
        <is>
          <t>2024-12-21T10:17:41-07:00</t>
        </is>
      </c>
      <c r="I82" s="2" t="inlineStr">
        <is>
          <t>12089687475</t>
        </is>
      </c>
      <c r="J82" s="2" t="inlineStr">
        <is>
          <t>https://itunes.apple.com/lv/reviews/id484976580</t>
        </is>
      </c>
      <c r="K82" s="2" t="n">
        <v>1</v>
      </c>
    </row>
    <row r="83">
      <c r="A83" s="2" t="inlineStr">
        <is>
          <t>Latvia</t>
        </is>
      </c>
      <c r="B83" s="2" t="inlineStr">
        <is>
          <t>lv</t>
        </is>
      </c>
      <c r="C83" s="2" t="n">
        <v>4</v>
      </c>
      <c r="D83" s="3" t="inlineStr">
        <is>
          <t>My impressions of new software Citadele online</t>
        </is>
      </c>
      <c r="E83" s="3" t="inlineStr">
        <is>
          <t>From banking systems and particularly online banking systems we, clients, do expect first of all stability, reliability and zero errors. I have been told (Dagnija Lacis from Unisys/Baltic Technology Group) that some North American banks are still using software, created with programming language “Cobold”. It was a long time ago, but operational system in ATM’s is still Windows XP, created in early 2000. So, conservative approach with most stable and familiar software is typical for serious banking. I was very satisfied with previous software version. And the second window with comments: open this and You’ll be surprised, seems a behaviour a little over fine red line of good banking behaviour. I do not expect some fun from my internet banking,  so I always skip that window unopened. And I don’t see any crucial improvements. 
        Yours,
                    Harry Jirgensons</t>
        </is>
      </c>
      <c r="F83" s="2" t="inlineStr">
        <is>
          <t>harryjirgensons1</t>
        </is>
      </c>
      <c r="G83" s="2" t="inlineStr">
        <is>
          <t>44.0</t>
        </is>
      </c>
      <c r="H83" s="2" t="inlineStr">
        <is>
          <t>2024-11-19T03:35:52-07:00</t>
        </is>
      </c>
      <c r="I83" s="2" t="inlineStr">
        <is>
          <t>11967323448</t>
        </is>
      </c>
      <c r="J83" s="2" t="inlineStr">
        <is>
          <t>https://itunes.apple.com/lv/reviews/id899519474</t>
        </is>
      </c>
      <c r="K83" s="2" t="n">
        <v>1</v>
      </c>
    </row>
    <row r="84">
      <c r="A84" s="2" t="inlineStr">
        <is>
          <t>Latvia</t>
        </is>
      </c>
      <c r="B84" s="2" t="inlineStr">
        <is>
          <t>lv</t>
        </is>
      </c>
      <c r="C84" s="2" t="n">
        <v>4</v>
      </c>
      <c r="D84" s="3" t="inlineStr">
        <is>
          <t>Bring the widget back 🥲</t>
        </is>
      </c>
      <c r="E84" s="3" t="inlineStr">
        <is>
          <t>I like a new design, but I want to have the widget back (it disappeared after the update). I would also like to see the purchase statistics</t>
        </is>
      </c>
      <c r="F84" s="2" t="inlineStr">
        <is>
          <t>Hello world 228</t>
        </is>
      </c>
      <c r="G84" s="2" t="inlineStr">
        <is>
          <t>44.0</t>
        </is>
      </c>
      <c r="H84" s="2" t="inlineStr">
        <is>
          <t>2024-11-09T01:24:34-07:00</t>
        </is>
      </c>
      <c r="I84" s="2" t="inlineStr">
        <is>
          <t>11929502864</t>
        </is>
      </c>
      <c r="J84" s="2" t="inlineStr">
        <is>
          <t>https://itunes.apple.com/lv/reviews/id333444832</t>
        </is>
      </c>
      <c r="K84" s="2" t="n">
        <v>1</v>
      </c>
    </row>
    <row r="85">
      <c r="A85" s="2" t="inlineStr">
        <is>
          <t>Latvia</t>
        </is>
      </c>
      <c r="B85" s="2" t="inlineStr">
        <is>
          <t>lv</t>
        </is>
      </c>
      <c r="C85" s="2" t="n">
        <v>1</v>
      </c>
      <c r="D85" s="3" t="inlineStr">
        <is>
          <t>Old version better</t>
        </is>
      </c>
      <c r="E85" s="3" t="inlineStr">
        <is>
          <t>.</t>
        </is>
      </c>
      <c r="F85" s="2" t="inlineStr">
        <is>
          <t>Snezokllv</t>
        </is>
      </c>
      <c r="G85" s="2" t="inlineStr">
        <is>
          <t>44.0</t>
        </is>
      </c>
      <c r="H85" s="2" t="inlineStr">
        <is>
          <t>2024-11-03T00:38:29-07:00</t>
        </is>
      </c>
      <c r="I85" s="2" t="inlineStr">
        <is>
          <t>11906524124</t>
        </is>
      </c>
      <c r="J85" s="2" t="inlineStr">
        <is>
          <t>https://itunes.apple.com/lv/reviews/id309860745</t>
        </is>
      </c>
      <c r="K85" s="2" t="n">
        <v>1</v>
      </c>
    </row>
    <row r="86">
      <c r="A86" s="2" t="inlineStr">
        <is>
          <t>Latvia</t>
        </is>
      </c>
      <c r="B86" s="2" t="inlineStr">
        <is>
          <t>lv</t>
        </is>
      </c>
      <c r="C86" s="2" t="n">
        <v>5</v>
      </c>
      <c r="D86" s="3" t="inlineStr">
        <is>
          <t>New update</t>
        </is>
      </c>
      <c r="E86" s="3" t="inlineStr">
        <is>
          <t>Ļoti slikti saprotama aplikācija. Nulle norādes/pamaciba, kur kas ir mainījies. 10min mekleju ka var stapr kontiem naudu parskaitīt. Lojalitātes punkti ari vairak nav redzami - tos vēl nēsmu atradis......</t>
        </is>
      </c>
      <c r="F86" s="2" t="inlineStr">
        <is>
          <t>mamamamarks</t>
        </is>
      </c>
      <c r="G86" s="2" t="inlineStr">
        <is>
          <t>44.0</t>
        </is>
      </c>
      <c r="H86" s="2" t="inlineStr">
        <is>
          <t>2024-10-31T11:18:07-07:00</t>
        </is>
      </c>
      <c r="I86" s="2" t="inlineStr">
        <is>
          <t>11896721624</t>
        </is>
      </c>
      <c r="J86" s="2" t="inlineStr">
        <is>
          <t>https://itunes.apple.com/lv/reviews/id197646309</t>
        </is>
      </c>
      <c r="K86" s="2" t="n">
        <v>1</v>
      </c>
    </row>
    <row r="87">
      <c r="A87" s="2" t="inlineStr">
        <is>
          <t>Latvia</t>
        </is>
      </c>
      <c r="B87" s="2" t="inlineStr">
        <is>
          <t>lv</t>
        </is>
      </c>
      <c r="C87" s="2" t="n">
        <v>1</v>
      </c>
      <c r="D87" s="3" t="inlineStr">
        <is>
          <t>New version</t>
        </is>
      </c>
      <c r="E87" s="3" t="inlineStr">
        <is>
          <t>Very bad. Everything that was on one screen is now hidden. And a bunch of unnecessary information that can't be removed.</t>
        </is>
      </c>
      <c r="F87" s="2" t="inlineStr">
        <is>
          <t>MaxFyo</t>
        </is>
      </c>
      <c r="G87" s="2" t="inlineStr">
        <is>
          <t>44.0</t>
        </is>
      </c>
      <c r="H87" s="2" t="inlineStr">
        <is>
          <t>2024-10-30T12:23:43-07:00</t>
        </is>
      </c>
      <c r="I87" s="2" t="inlineStr">
        <is>
          <t>11893147382</t>
        </is>
      </c>
      <c r="J87" s="2" t="inlineStr">
        <is>
          <t>https://itunes.apple.com/lv/reviews/id686343029</t>
        </is>
      </c>
      <c r="K87" s="2" t="n">
        <v>1</v>
      </c>
    </row>
    <row r="88">
      <c r="A88" s="2" t="inlineStr">
        <is>
          <t>Latvia</t>
        </is>
      </c>
      <c r="B88" s="2" t="inlineStr">
        <is>
          <t>lv</t>
        </is>
      </c>
      <c r="C88" s="2" t="n">
        <v>1</v>
      </c>
      <c r="D88" s="3" t="inlineStr">
        <is>
          <t>Jaunā versija ir briesmīga</t>
        </is>
      </c>
      <c r="E88" s="3" t="inlineStr">
        <is>
          <t>Pusi ekrānu aizņem reklāmas un neko vairs nevar atrast</t>
        </is>
      </c>
      <c r="F88" s="2" t="inlineStr">
        <is>
          <t>Moriartijs</t>
        </is>
      </c>
      <c r="G88" s="2" t="inlineStr">
        <is>
          <t>44.0</t>
        </is>
      </c>
      <c r="H88" s="2" t="inlineStr">
        <is>
          <t>2024-10-30T04:08:51-07:00</t>
        </is>
      </c>
      <c r="I88" s="2" t="inlineStr">
        <is>
          <t>11891563650</t>
        </is>
      </c>
      <c r="J88" s="2" t="inlineStr">
        <is>
          <t>https://itunes.apple.com/lv/reviews/id303463227</t>
        </is>
      </c>
      <c r="K88" s="2" t="n">
        <v>1</v>
      </c>
    </row>
    <row r="89">
      <c r="A89" s="2" t="inlineStr">
        <is>
          <t>Latvia</t>
        </is>
      </c>
      <c r="B89" s="2" t="inlineStr">
        <is>
          <t>lv</t>
        </is>
      </c>
      <c r="C89" s="2" t="n">
        <v>5</v>
      </c>
      <c r="D89" s="3" t="inlineStr">
        <is>
          <t>Jaunā versija</t>
        </is>
      </c>
      <c r="E89" s="3" t="inlineStr">
        <is>
          <t>Pēc atjauninājuma nerādās widget ātrais atlikums. Pati aplikācija patīk un ir ērti lietojama. Ios versija 18.0.1</t>
        </is>
      </c>
      <c r="F89" s="2" t="inlineStr">
        <is>
          <t>VirusStyle</t>
        </is>
      </c>
      <c r="G89" s="2" t="inlineStr">
        <is>
          <t>44.0</t>
        </is>
      </c>
      <c r="H89" s="2" t="inlineStr">
        <is>
          <t>2024-10-29T10:05:35-07:00</t>
        </is>
      </c>
      <c r="I89" s="2" t="inlineStr">
        <is>
          <t>11888892762</t>
        </is>
      </c>
      <c r="J89" s="2" t="inlineStr">
        <is>
          <t>https://itunes.apple.com/lv/reviews/id174655423</t>
        </is>
      </c>
      <c r="K89" s="2" t="n">
        <v>1</v>
      </c>
    </row>
    <row r="90">
      <c r="A90" s="2" t="inlineStr">
        <is>
          <t>Latvia</t>
        </is>
      </c>
      <c r="B90" s="2" t="inlineStr">
        <is>
          <t>lv</t>
        </is>
      </c>
      <c r="C90" s="2" t="n">
        <v>1</v>
      </c>
      <c r="D90" s="3" t="inlineStr">
        <is>
          <t>Jaunā versija</t>
        </is>
      </c>
      <c r="E90" s="3" t="inlineStr">
        <is>
          <t>Jaunā versija ir kļuvusi sarežģītāka, mazāk patīkama. Vairāk laika un čakara pārslēgties no privātā uz biznesa kontu un apskatīt visus kontus. Tagad pārāk daudz mistiski piedāvājumi un reklàmas</t>
        </is>
      </c>
      <c r="F90" s="2" t="inlineStr">
        <is>
          <t>andriskaposts</t>
        </is>
      </c>
      <c r="G90" s="2" t="inlineStr">
        <is>
          <t>44.0</t>
        </is>
      </c>
      <c r="H90" s="2" t="inlineStr">
        <is>
          <t>2024-10-29T00:05:03-07:00</t>
        </is>
      </c>
      <c r="I90" s="2" t="inlineStr">
        <is>
          <t>11887150057</t>
        </is>
      </c>
      <c r="J90" s="2" t="inlineStr">
        <is>
          <t>https://itunes.apple.com/lv/reviews/id1381525443</t>
        </is>
      </c>
      <c r="K90" s="2" t="n">
        <v>1</v>
      </c>
    </row>
    <row r="91">
      <c r="A91" s="2" t="inlineStr">
        <is>
          <t>Latvia</t>
        </is>
      </c>
      <c r="B91" s="2" t="inlineStr">
        <is>
          <t>lv</t>
        </is>
      </c>
      <c r="C91" s="2" t="n">
        <v>5</v>
      </c>
      <c r="D91" s="3" t="inlineStr">
        <is>
          <t>Наконец то!</t>
        </is>
      </c>
      <c r="E91" s="3" t="inlineStr">
        <is>
          <t>Пользовался SEB еще неделю назад, все говорили что вы ахуенные. Не верил, потому что в Латвии такого быть не может. Все через одно место.  
приятно удивлен! Эффект ВАУ получил от пользования вашего приложения. машины!!! Так держать 🫡🚀</t>
        </is>
      </c>
      <c r="F91" s="2" t="inlineStr">
        <is>
          <t>Terek89</t>
        </is>
      </c>
      <c r="G91" s="2" t="inlineStr">
        <is>
          <t>44.0</t>
        </is>
      </c>
      <c r="H91" s="2" t="inlineStr">
        <is>
          <t>2024-10-27T01:56:02-07:00</t>
        </is>
      </c>
      <c r="I91" s="2" t="inlineStr">
        <is>
          <t>11880100160</t>
        </is>
      </c>
      <c r="J91" s="2" t="inlineStr">
        <is>
          <t>https://itunes.apple.com/lv/reviews/id200358567</t>
        </is>
      </c>
      <c r="K91" s="2" t="n">
        <v>1</v>
      </c>
    </row>
    <row r="92">
      <c r="A92" s="2" t="inlineStr">
        <is>
          <t>Latvia</t>
        </is>
      </c>
      <c r="B92" s="2" t="inlineStr">
        <is>
          <t>lv</t>
        </is>
      </c>
      <c r="C92" s="2" t="n">
        <v>4</v>
      </c>
      <c r="D92" s="3" t="inlineStr">
        <is>
          <t>Widgets</t>
        </is>
      </c>
      <c r="E92" s="3" t="inlineStr">
        <is>
          <t>Pēc atjauninājuma pazuda widzets 😔</t>
        </is>
      </c>
      <c r="F92" s="2" t="inlineStr">
        <is>
          <t>Mar1sZ</t>
        </is>
      </c>
      <c r="G92" s="2" t="inlineStr">
        <is>
          <t>44.0</t>
        </is>
      </c>
      <c r="H92" s="2" t="inlineStr">
        <is>
          <t>2024-10-26T08:42:52-07:00</t>
        </is>
      </c>
      <c r="I92" s="2" t="inlineStr">
        <is>
          <t>11877476720</t>
        </is>
      </c>
      <c r="J92" s="2" t="inlineStr">
        <is>
          <t>https://itunes.apple.com/lv/reviews/id493922254</t>
        </is>
      </c>
      <c r="K92" s="2" t="n">
        <v>1</v>
      </c>
    </row>
    <row r="93">
      <c r="A93" s="2" t="inlineStr">
        <is>
          <t>Latvia</t>
        </is>
      </c>
      <c r="B93" s="2" t="inlineStr">
        <is>
          <t>lv</t>
        </is>
      </c>
      <c r="C93" s="2" t="n">
        <v>2</v>
      </c>
      <c r="D93" s="3" t="inlineStr">
        <is>
          <t>App update</t>
        </is>
      </c>
      <c r="E93" s="3" t="inlineStr">
        <is>
          <t>Galīgi garām- galvenajā lapā tagad zem galvenā konta ir reklāma!  Pirms tam bija redzami visi konti. Tagad papildus jāpiespiež VISI konti, lai redzētu, kas notiek pārējos. Atgrieziet, lūdzu , galveno skatu ar visiem kontiem!</t>
        </is>
      </c>
      <c r="F93" s="2" t="inlineStr">
        <is>
          <t>Zanete9</t>
        </is>
      </c>
      <c r="G93" s="2" t="inlineStr">
        <is>
          <t>44.0</t>
        </is>
      </c>
      <c r="H93" s="2" t="inlineStr">
        <is>
          <t>2024-10-25T09:32:22-07:00</t>
        </is>
      </c>
      <c r="I93" s="2" t="inlineStr">
        <is>
          <t>11873774178</t>
        </is>
      </c>
      <c r="J93" s="2" t="inlineStr">
        <is>
          <t>https://itunes.apple.com/lv/reviews/id356476596</t>
        </is>
      </c>
      <c r="K93" s="2" t="n">
        <v>1</v>
      </c>
    </row>
    <row r="94">
      <c r="A94" s="2" t="inlineStr">
        <is>
          <t>Latvia</t>
        </is>
      </c>
      <c r="B94" s="2" t="inlineStr">
        <is>
          <t>lv</t>
        </is>
      </c>
      <c r="C94" s="2" t="n">
        <v>1</v>
      </c>
      <c r="D94" s="3" t="inlineStr">
        <is>
          <t>Widget removed</t>
        </is>
      </c>
      <c r="E94" s="3" t="inlineStr">
        <is>
          <t>Hate that you have removed widget for quickly checking account balance.</t>
        </is>
      </c>
      <c r="F94" s="2" t="inlineStr">
        <is>
          <t>Sezo1!</t>
        </is>
      </c>
      <c r="G94" s="2" t="inlineStr">
        <is>
          <t>44.0</t>
        </is>
      </c>
      <c r="H94" s="2" t="inlineStr">
        <is>
          <t>2024-10-24T04:45:23-07:00</t>
        </is>
      </c>
      <c r="I94" s="2" t="inlineStr">
        <is>
          <t>11869101241</t>
        </is>
      </c>
      <c r="J94" s="2" t="inlineStr">
        <is>
          <t>https://itunes.apple.com/lv/reviews/id421156522</t>
        </is>
      </c>
      <c r="K94" s="2" t="n">
        <v>1</v>
      </c>
    </row>
    <row r="95">
      <c r="A95" s="2" t="inlineStr">
        <is>
          <t>Latvia</t>
        </is>
      </c>
      <c r="B95" s="2" t="inlineStr">
        <is>
          <t>lv</t>
        </is>
      </c>
      <c r="C95" s="2" t="n">
        <v>1</v>
      </c>
      <c r="D95" s="3" t="inlineStr">
        <is>
          <t>Revolut bez revolūcijas</t>
        </is>
      </c>
      <c r="E95" s="3" t="inlineStr">
        <is>
          <t>Google Tag Manager, Facebook SDK ir ieslēgtas pēc noklusējuma. Atrodas īsti neatrodamā vietā. Jūs esat banka vai vietne ar receptēm?
Ar ikonām, kuras pārdeva kaut kādabetting platforma. Neapmierina, ka uz lielā telefona neietilpst bez ritināšanas: mani konti, mani maksājumi un iestatījumi.
Kopsavilkums: šī ir lietotne pusakliem, bezgaumīgiem spēlmaņiem. Skumji 😢</t>
        </is>
      </c>
      <c r="F95" s="2" t="inlineStr">
        <is>
          <t>vershart</t>
        </is>
      </c>
      <c r="G95" s="2" t="inlineStr">
        <is>
          <t>44.0</t>
        </is>
      </c>
      <c r="H95" s="2" t="inlineStr">
        <is>
          <t>2024-10-23T12:50:14-07:00</t>
        </is>
      </c>
      <c r="I95" s="2" t="inlineStr">
        <is>
          <t>11866920387</t>
        </is>
      </c>
      <c r="J95" s="2" t="inlineStr">
        <is>
          <t>https://itunes.apple.com/lv/reviews/id533968658</t>
        </is>
      </c>
      <c r="K95" s="2" t="n">
        <v>1</v>
      </c>
    </row>
    <row r="96">
      <c r="A96" s="2" t="inlineStr">
        <is>
          <t>Latvia</t>
        </is>
      </c>
      <c r="B96" s="2" t="inlineStr">
        <is>
          <t>lv</t>
        </is>
      </c>
      <c r="C96" s="2" t="n">
        <v>5</v>
      </c>
      <c r="D96" s="3" t="inlineStr">
        <is>
          <t>New app look🔥🔥🔥</t>
        </is>
      </c>
      <c r="E96" s="3" t="inlineStr">
        <is>
          <t>Amazing job done by development and design team! 🔥 app looks outstanding! Big thanks!🫶🏻</t>
        </is>
      </c>
      <c r="F96" s="2" t="inlineStr">
        <is>
          <t>Denchill21</t>
        </is>
      </c>
      <c r="G96" s="2" t="inlineStr">
        <is>
          <t>44.0</t>
        </is>
      </c>
      <c r="H96" s="2" t="inlineStr">
        <is>
          <t>2024-10-23T08:32:33-07:00</t>
        </is>
      </c>
      <c r="I96" s="2" t="inlineStr">
        <is>
          <t>11866172369</t>
        </is>
      </c>
      <c r="J96" s="2" t="inlineStr">
        <is>
          <t>https://itunes.apple.com/lv/reviews/id1315685789</t>
        </is>
      </c>
      <c r="K96" s="2" t="n">
        <v>1</v>
      </c>
    </row>
    <row r="97">
      <c r="A97" s="2" t="inlineStr">
        <is>
          <t>Latvia</t>
        </is>
      </c>
      <c r="B97" s="2" t="inlineStr">
        <is>
          <t>lv</t>
        </is>
      </c>
      <c r="C97" s="2" t="n">
        <v>1</v>
      </c>
      <c r="D97" s="3" t="inlineStr">
        <is>
          <t>Poor user experience</t>
        </is>
      </c>
      <c r="E97" s="3" t="inlineStr">
        <is>
          <t>Outdated design and limited functionality of the app. Unclear transaction history with delayed transactions being shown out of sequence. Only the date of transaction is specified, but not the time. 3D secure is much more inconvenient to use, compared to SmartID. Please explore the interface of Chase UK and consider making improvements to Citadele banking app.</t>
        </is>
      </c>
      <c r="F97" s="2" t="inlineStr">
        <is>
          <t>34 vsk</t>
        </is>
      </c>
      <c r="G97" s="2" t="inlineStr">
        <is>
          <t>14.4</t>
        </is>
      </c>
      <c r="H97" s="2" t="inlineStr">
        <is>
          <t>2024-09-30T05:34:19-07:00</t>
        </is>
      </c>
      <c r="I97" s="2" t="inlineStr">
        <is>
          <t>11781257580</t>
        </is>
      </c>
      <c r="J97" s="2" t="inlineStr">
        <is>
          <t>https://itunes.apple.com/lv/reviews/id297713306</t>
        </is>
      </c>
      <c r="K97" s="2" t="n">
        <v>1</v>
      </c>
    </row>
    <row r="98">
      <c r="A98" s="2" t="inlineStr">
        <is>
          <t>Latvia</t>
        </is>
      </c>
      <c r="B98" s="2" t="inlineStr">
        <is>
          <t>lv</t>
        </is>
      </c>
      <c r="C98" s="2" t="n">
        <v>5</v>
      </c>
      <c r="D98" s="3" t="inlineStr">
        <is>
          <t>Citadele</t>
        </is>
      </c>
      <c r="E98" s="3" t="inlineStr">
        <is>
          <t>Labākā banku aplikācija</t>
        </is>
      </c>
      <c r="F98" s="2" t="inlineStr">
        <is>
          <t>Sakals</t>
        </is>
      </c>
      <c r="G98" s="2" t="inlineStr">
        <is>
          <t>14.2</t>
        </is>
      </c>
      <c r="H98" s="2" t="inlineStr">
        <is>
          <t>2024-06-25T07:24:11-07:00</t>
        </is>
      </c>
      <c r="I98" s="2" t="inlineStr">
        <is>
          <t>11421615443</t>
        </is>
      </c>
      <c r="J98" s="2" t="inlineStr">
        <is>
          <t>https://itunes.apple.com/lv/reviews/id42359889</t>
        </is>
      </c>
      <c r="K98" s="2" t="n">
        <v>1</v>
      </c>
    </row>
    <row r="99">
      <c r="A99" s="2" t="inlineStr">
        <is>
          <t>Latvia</t>
        </is>
      </c>
      <c r="B99" s="2" t="inlineStr">
        <is>
          <t>lv</t>
        </is>
      </c>
      <c r="C99" s="2" t="n">
        <v>5</v>
      </c>
      <c r="D99" s="3" t="inlineStr">
        <is>
          <t>Citadel</t>
        </is>
      </c>
      <c r="E99" s="3" t="inlineStr">
        <is>
          <t>Iesaku! 🤩</t>
        </is>
      </c>
      <c r="F99" s="2" t="inlineStr">
        <is>
          <t>azakin78</t>
        </is>
      </c>
      <c r="G99" s="2" t="inlineStr">
        <is>
          <t>14.1</t>
        </is>
      </c>
      <c r="H99" s="2" t="inlineStr">
        <is>
          <t>2024-05-10T02:39:38-07:00</t>
        </is>
      </c>
      <c r="I99" s="2" t="inlineStr">
        <is>
          <t>11251572473</t>
        </is>
      </c>
      <c r="J99" s="2" t="inlineStr">
        <is>
          <t>https://itunes.apple.com/lv/reviews/id797903164</t>
        </is>
      </c>
      <c r="K99" s="2" t="n">
        <v>1</v>
      </c>
    </row>
    <row r="100">
      <c r="A100" s="2" t="inlineStr">
        <is>
          <t>Latvia</t>
        </is>
      </c>
      <c r="B100" s="2" t="inlineStr">
        <is>
          <t>lv</t>
        </is>
      </c>
      <c r="C100" s="2" t="n">
        <v>5</v>
      </c>
      <c r="D100" s="3" t="inlineStr">
        <is>
          <t>Viss labi pārdomāts</t>
        </is>
      </c>
      <c r="E100" s="3" t="inlineStr">
        <is>
          <t>Ērta, pārskatāma, viegli saprotama un izmantojama aplikācija. Ļoti patīk.</t>
        </is>
      </c>
      <c r="F100" s="2" t="inlineStr">
        <is>
          <t>Laumelle</t>
        </is>
      </c>
      <c r="G100" s="2" t="inlineStr">
        <is>
          <t>13.7</t>
        </is>
      </c>
      <c r="H100" s="2" t="inlineStr">
        <is>
          <t>2024-03-20T00:23:59-07:00</t>
        </is>
      </c>
      <c r="I100" s="2" t="inlineStr">
        <is>
          <t>11064372679</t>
        </is>
      </c>
      <c r="J100" s="2" t="inlineStr">
        <is>
          <t>https://itunes.apple.com/lv/reviews/id907753487</t>
        </is>
      </c>
      <c r="K100" s="2" t="n">
        <v>1</v>
      </c>
    </row>
    <row r="101">
      <c r="A101" s="2" t="inlineStr">
        <is>
          <t>Latvia</t>
        </is>
      </c>
      <c r="B101" s="2" t="inlineStr">
        <is>
          <t>lv</t>
        </is>
      </c>
      <c r="C101" s="2" t="n">
        <v>3</v>
      </c>
      <c r="D101" s="3" t="inlineStr">
        <is>
          <t>Not version on iPad</t>
        </is>
      </c>
      <c r="E101" s="3" t="inlineStr">
        <is>
          <t>I want version on iPad</t>
        </is>
      </c>
      <c r="F101" s="2" t="inlineStr">
        <is>
          <t>rek1ngs</t>
        </is>
      </c>
      <c r="G101" s="2" t="inlineStr">
        <is>
          <t>14.0</t>
        </is>
      </c>
      <c r="H101" s="2" t="inlineStr">
        <is>
          <t>2024-03-05T10:31:05-07:00</t>
        </is>
      </c>
      <c r="I101" s="2" t="inlineStr">
        <is>
          <t>11011804833</t>
        </is>
      </c>
      <c r="J101" s="2" t="inlineStr">
        <is>
          <t>https://itunes.apple.com/lv/reviews/id1409702477</t>
        </is>
      </c>
      <c r="K101" s="2" t="n">
        <v>1</v>
      </c>
    </row>
    <row r="102">
      <c r="A102" s="2" t="inlineStr">
        <is>
          <t>Latvia</t>
        </is>
      </c>
      <c r="B102" s="2" t="inlineStr">
        <is>
          <t>lv</t>
        </is>
      </c>
      <c r="C102" s="2" t="n">
        <v>5</v>
      </c>
      <c r="D102" s="3" t="inlineStr">
        <is>
          <t>Love it</t>
        </is>
      </c>
      <c r="E102" s="3" t="inlineStr">
        <is>
          <t>Palīdz parsutit naudu, sanemt naudu. iesaku visiem!</t>
        </is>
      </c>
      <c r="F102" s="2" t="inlineStr">
        <is>
          <t>𝐄𝐥𝐥𝐚𓆉</t>
        </is>
      </c>
      <c r="G102" s="2" t="inlineStr">
        <is>
          <t>14.0</t>
        </is>
      </c>
      <c r="H102" s="2" t="inlineStr">
        <is>
          <t>2024-03-04T07:16:56-07:00</t>
        </is>
      </c>
      <c r="I102" s="2" t="inlineStr">
        <is>
          <t>11007581975</t>
        </is>
      </c>
      <c r="J102" s="2" t="inlineStr">
        <is>
          <t>https://itunes.apple.com/lv/reviews/id1234649714</t>
        </is>
      </c>
      <c r="K102" s="2" t="n">
        <v>1</v>
      </c>
    </row>
    <row r="103">
      <c r="A103" s="2" t="inlineStr">
        <is>
          <t>Latvia</t>
        </is>
      </c>
      <c r="B103" s="2" t="inlineStr">
        <is>
          <t>lv</t>
        </is>
      </c>
      <c r="C103" s="2" t="n">
        <v>5</v>
      </c>
      <c r="D103" s="3" t="inlineStr">
        <is>
          <t>Best banking app ever</t>
        </is>
      </c>
      <c r="E103" s="3" t="inlineStr">
        <is>
          <t>I really like this app:)</t>
        </is>
      </c>
      <c r="F103" s="2" t="inlineStr">
        <is>
          <t>mlpplgip</t>
        </is>
      </c>
      <c r="G103" s="2" t="inlineStr">
        <is>
          <t>13.7</t>
        </is>
      </c>
      <c r="H103" s="2" t="inlineStr">
        <is>
          <t>2024-02-24T08:45:02-07:00</t>
        </is>
      </c>
      <c r="I103" s="2" t="inlineStr">
        <is>
          <t>10975091972</t>
        </is>
      </c>
      <c r="J103" s="2" t="inlineStr">
        <is>
          <t>https://itunes.apple.com/lv/reviews/id1482507137</t>
        </is>
      </c>
      <c r="K103" s="2" t="n">
        <v>2</v>
      </c>
    </row>
    <row r="104">
      <c r="A104" s="2" t="inlineStr">
        <is>
          <t>Latvia</t>
        </is>
      </c>
      <c r="B104" s="2" t="inlineStr">
        <is>
          <t>lv</t>
        </is>
      </c>
      <c r="C104" s="2" t="n">
        <v>3</v>
      </c>
      <c r="D104" s="3" t="inlineStr">
        <is>
          <t>Quick balance not working</t>
        </is>
      </c>
      <c r="E104" s="3" t="inlineStr">
        <is>
          <t>In last couple months, constant message showing “SSL error” on the widget. Very annoying.
Last iOS and last app version.</t>
        </is>
      </c>
      <c r="F104" s="2" t="inlineStr">
        <is>
          <t>dkrasilnikov87</t>
        </is>
      </c>
      <c r="G104" s="2" t="inlineStr">
        <is>
          <t>13.7</t>
        </is>
      </c>
      <c r="H104" s="2" t="inlineStr">
        <is>
          <t>2024-02-22T21:28:50-07:00</t>
        </is>
      </c>
      <c r="I104" s="2" t="inlineStr">
        <is>
          <t>10969502166</t>
        </is>
      </c>
      <c r="J104" s="2" t="inlineStr">
        <is>
          <t>https://itunes.apple.com/lv/reviews/id1285648071</t>
        </is>
      </c>
      <c r="K104" s="2" t="n">
        <v>2</v>
      </c>
    </row>
    <row r="105">
      <c r="A105" s="2" t="inlineStr">
        <is>
          <t>Latvia</t>
        </is>
      </c>
      <c r="B105" s="2" t="inlineStr">
        <is>
          <t>lv</t>
        </is>
      </c>
      <c r="C105" s="2" t="n">
        <v>3</v>
      </c>
      <c r="D105" s="3" t="inlineStr">
        <is>
          <t>Quick balance not working</t>
        </is>
      </c>
      <c r="E105" s="3" t="inlineStr">
        <is>
          <t>Quick balance widget stopped working for last two months showing SSL error. Before that it was updating the balance only after the app itself was opened, which made it barely useful</t>
        </is>
      </c>
      <c r="F105" s="2" t="inlineStr">
        <is>
          <t>zeco2309</t>
        </is>
      </c>
      <c r="G105" s="2" t="inlineStr">
        <is>
          <t>13.7</t>
        </is>
      </c>
      <c r="H105" s="2" t="inlineStr">
        <is>
          <t>2024-02-12T00:43:08-07:00</t>
        </is>
      </c>
      <c r="I105" s="2" t="inlineStr">
        <is>
          <t>10929966350</t>
        </is>
      </c>
      <c r="J105" s="2" t="inlineStr">
        <is>
          <t>https://itunes.apple.com/lv/reviews/id101566404</t>
        </is>
      </c>
      <c r="K105" s="2" t="n">
        <v>2</v>
      </c>
    </row>
    <row r="106">
      <c r="A106" s="2" t="inlineStr">
        <is>
          <t>Latvia</t>
        </is>
      </c>
      <c r="B106" s="2" t="inlineStr">
        <is>
          <t>lv</t>
        </is>
      </c>
      <c r="C106" s="2" t="n">
        <v>2</v>
      </c>
      <c r="D106" s="3" t="inlineStr">
        <is>
          <t>Ātrais atlikums lielākoties nestrādā</t>
        </is>
      </c>
      <c r="E106" s="3" t="inlineStr">
        <is>
          <t>Jau vairāk kā mēnesi gaidu, kad tiks sakārtota opcija par ātro atlikumu un būs programmas atjauninājums. Šī problēma ir ļoti regulāra, priekš kam piedāvāt tādu opciju, ja vienmēr ir SSL error??? Vienmēr jāiet bankā, lai paskatītos atlikumu, taču nodrošiniet aplikācijas pilnveidīgu funkcionēšanu, šī ir bankas aplikācija nevis spēlītes… pati banka pilnīgi apmierina, bet mūžīgi ķibeles ar aplikāciju.</t>
        </is>
      </c>
      <c r="F106" s="2" t="inlineStr">
        <is>
          <t>RozeeEl</t>
        </is>
      </c>
      <c r="G106" s="2" t="inlineStr">
        <is>
          <t>13.7</t>
        </is>
      </c>
      <c r="H106" s="2" t="inlineStr">
        <is>
          <t>2024-02-09T10:49:38-07:00</t>
        </is>
      </c>
      <c r="I106" s="2" t="inlineStr">
        <is>
          <t>10920582816</t>
        </is>
      </c>
      <c r="J106" s="2" t="inlineStr">
        <is>
          <t>https://itunes.apple.com/lv/reviews/id832314400</t>
        </is>
      </c>
      <c r="K106" s="2" t="n">
        <v>2</v>
      </c>
    </row>
    <row r="107">
      <c r="A107" s="2" t="inlineStr">
        <is>
          <t>Latvia</t>
        </is>
      </c>
      <c r="B107" s="2" t="inlineStr">
        <is>
          <t>lv</t>
        </is>
      </c>
      <c r="C107" s="2" t="n">
        <v>2</v>
      </c>
      <c r="D107" s="3" t="inlineStr">
        <is>
          <t>Widget is not working</t>
        </is>
      </c>
      <c r="E107" s="3" t="inlineStr">
        <is>
          <t>Widget is not working on last ios version due to an SSL error</t>
        </is>
      </c>
      <c r="F107" s="2" t="inlineStr">
        <is>
          <t>Ricchi Ricch</t>
        </is>
      </c>
      <c r="G107" s="2" t="inlineStr">
        <is>
          <t>13.7</t>
        </is>
      </c>
      <c r="H107" s="2" t="inlineStr">
        <is>
          <t>2024-02-06T09:42:29-07:00</t>
        </is>
      </c>
      <c r="I107" s="2" t="inlineStr">
        <is>
          <t>10909249974</t>
        </is>
      </c>
      <c r="J107" s="2" t="inlineStr">
        <is>
          <t>https://itunes.apple.com/lv/reviews/id406941781</t>
        </is>
      </c>
      <c r="K107" s="2" t="n">
        <v>2</v>
      </c>
    </row>
    <row r="108">
      <c r="A108" s="2" t="inlineStr">
        <is>
          <t>Latvia</t>
        </is>
      </c>
      <c r="B108" s="2" t="inlineStr">
        <is>
          <t>lv</t>
        </is>
      </c>
      <c r="C108" s="2" t="n">
        <v>3</v>
      </c>
      <c r="D108" s="3" t="inlineStr">
        <is>
          <t>Widget is not working</t>
        </is>
      </c>
      <c r="E108" s="3" t="inlineStr">
        <is>
          <t>I have instant SSL issue on the widget. Reinstall did not work.</t>
        </is>
      </c>
      <c r="F108" s="2" t="inlineStr">
        <is>
          <t>alastarfox</t>
        </is>
      </c>
      <c r="G108" s="2" t="inlineStr">
        <is>
          <t>13.7</t>
        </is>
      </c>
      <c r="H108" s="2" t="inlineStr">
        <is>
          <t>2024-02-05T04:36:45-07:00</t>
        </is>
      </c>
      <c r="I108" s="2" t="inlineStr">
        <is>
          <t>10904428818</t>
        </is>
      </c>
      <c r="J108" s="2" t="inlineStr">
        <is>
          <t>https://itunes.apple.com/lv/reviews/id136066300</t>
        </is>
      </c>
      <c r="K108" s="2" t="n">
        <v>2</v>
      </c>
    </row>
    <row r="109">
      <c r="A109" s="2" t="inlineStr">
        <is>
          <t>Latvia</t>
        </is>
      </c>
      <c r="B109" s="2" t="inlineStr">
        <is>
          <t>lv</t>
        </is>
      </c>
      <c r="C109" s="2" t="n">
        <v>2</v>
      </c>
      <c r="D109" s="3" t="inlineStr">
        <is>
          <t>Widget error</t>
        </is>
      </c>
      <c r="E109" s="3" t="inlineStr">
        <is>
          <t>The most useful funtion not working anymore.
Latest iOS/device and Citadele app. 
2 stars for good app with push notification. 3 more stars will be when widgets will work again</t>
        </is>
      </c>
      <c r="F109" s="2" t="inlineStr">
        <is>
          <t>walkerS07</t>
        </is>
      </c>
      <c r="G109" s="2" t="inlineStr">
        <is>
          <t>13.7</t>
        </is>
      </c>
      <c r="H109" s="2" t="inlineStr">
        <is>
          <t>2024-02-03T03:09:21-07:00</t>
        </is>
      </c>
      <c r="I109" s="2" t="inlineStr">
        <is>
          <t>10896344614</t>
        </is>
      </c>
      <c r="J109" s="2" t="inlineStr">
        <is>
          <t>https://itunes.apple.com/lv/reviews/id141053556</t>
        </is>
      </c>
      <c r="K109" s="2" t="n">
        <v>2</v>
      </c>
    </row>
    <row r="110">
      <c r="A110" s="2" t="inlineStr">
        <is>
          <t>Latvia</t>
        </is>
      </c>
      <c r="B110" s="2" t="inlineStr">
        <is>
          <t>lv</t>
        </is>
      </c>
      <c r="C110" s="2" t="n">
        <v>3</v>
      </c>
      <c r="D110" s="3" t="inlineStr">
        <is>
          <t>Face id does not work</t>
        </is>
      </c>
      <c r="E110" s="3" t="inlineStr">
        <is>
          <t>I'm constantly getting an error message when I'm trying to activate the Face Id</t>
        </is>
      </c>
      <c r="F110" s="2" t="inlineStr">
        <is>
          <t>mortex231094</t>
        </is>
      </c>
      <c r="G110" s="2" t="inlineStr">
        <is>
          <t>13.7</t>
        </is>
      </c>
      <c r="H110" s="2" t="inlineStr">
        <is>
          <t>2024-02-01T15:11:21-07:00</t>
        </is>
      </c>
      <c r="I110" s="2" t="inlineStr">
        <is>
          <t>10890452120</t>
        </is>
      </c>
      <c r="J110" s="2" t="inlineStr">
        <is>
          <t>https://itunes.apple.com/lv/reviews/id553444918</t>
        </is>
      </c>
      <c r="K110" s="2" t="n">
        <v>2</v>
      </c>
    </row>
    <row r="111">
      <c r="A111" s="2" t="inlineStr">
        <is>
          <t>Latvia</t>
        </is>
      </c>
      <c r="B111" s="2" t="inlineStr">
        <is>
          <t>lv</t>
        </is>
      </c>
      <c r="C111" s="2" t="n">
        <v>2</v>
      </c>
      <c r="D111" s="3" t="inlineStr">
        <is>
          <t>widget error</t>
        </is>
      </c>
      <c r="E111" s="3" t="inlineStr">
        <is>
          <t>Newest ios version but still doesn’t work widget, “SSL error” almost few months</t>
        </is>
      </c>
      <c r="F111" s="2" t="inlineStr">
        <is>
          <t>bublik02</t>
        </is>
      </c>
      <c r="G111" s="2" t="inlineStr">
        <is>
          <t>13.7</t>
        </is>
      </c>
      <c r="H111" s="2" t="inlineStr">
        <is>
          <t>2024-02-01T00:58:33-07:00</t>
        </is>
      </c>
      <c r="I111" s="2" t="inlineStr">
        <is>
          <t>10887912242</t>
        </is>
      </c>
      <c r="J111" s="2" t="inlineStr">
        <is>
          <t>https://itunes.apple.com/lv/reviews/id651196055</t>
        </is>
      </c>
      <c r="K111" s="2" t="n">
        <v>2</v>
      </c>
    </row>
    <row r="112">
      <c r="A112" s="2" t="inlineStr">
        <is>
          <t>Latvia</t>
        </is>
      </c>
      <c r="B112" s="2" t="inlineStr">
        <is>
          <t>lv</t>
        </is>
      </c>
      <c r="C112" s="2" t="n">
        <v>1</v>
      </c>
      <c r="D112" s="3" t="inlineStr">
        <is>
          <t>App crash</t>
        </is>
      </c>
      <c r="E112" s="3" t="inlineStr">
        <is>
          <t>„An SSL error has occured and a secure connection to the server cannot be made on iOS 14.8” Week ago everything worked fine</t>
        </is>
      </c>
      <c r="F112" s="2" t="inlineStr">
        <is>
          <t>usdvgh</t>
        </is>
      </c>
      <c r="G112" s="2" t="inlineStr">
        <is>
          <t>12.48</t>
        </is>
      </c>
      <c r="H112" s="2" t="inlineStr">
        <is>
          <t>2024-01-12T22:41:55-07:00</t>
        </is>
      </c>
      <c r="I112" s="2" t="inlineStr">
        <is>
          <t>10816064645</t>
        </is>
      </c>
      <c r="J112" s="2" t="inlineStr">
        <is>
          <t>https://itunes.apple.com/lv/reviews/id1567530686</t>
        </is>
      </c>
      <c r="K112" s="2" t="n">
        <v>2</v>
      </c>
    </row>
    <row r="113">
      <c r="A113" s="2" t="inlineStr">
        <is>
          <t>Latvia</t>
        </is>
      </c>
      <c r="B113" s="2" t="inlineStr">
        <is>
          <t>lv</t>
        </is>
      </c>
      <c r="C113" s="2" t="n">
        <v>2</v>
      </c>
      <c r="D113" s="3" t="inlineStr">
        <is>
          <t>Netieku aplikācijā!</t>
        </is>
      </c>
      <c r="E113" s="3" t="inlineStr">
        <is>
          <t>ejot aplikācijā un spiežot pieslēgties izmet kļūdu ka ir problēma ar SSL, nevar droši pieslēgties. Visu dienu mēģinu jau tikt aplikācijā!! 
Iepriekš problēmu nebija.</t>
        </is>
      </c>
      <c r="F113" s="2" t="inlineStr">
        <is>
          <t>Nickwitha</t>
        </is>
      </c>
      <c r="G113" s="2" t="inlineStr">
        <is>
          <t>13.7</t>
        </is>
      </c>
      <c r="H113" s="2" t="inlineStr">
        <is>
          <t>2023-12-19T03:34:48-07:00</t>
        </is>
      </c>
      <c r="I113" s="2" t="inlineStr">
        <is>
          <t>10716910882</t>
        </is>
      </c>
      <c r="J113" s="2" t="inlineStr">
        <is>
          <t>https://itunes.apple.com/lv/reviews/id1349178942</t>
        </is>
      </c>
      <c r="K113" s="2" t="n">
        <v>2</v>
      </c>
    </row>
    <row r="114">
      <c r="A114" s="2" t="inlineStr">
        <is>
          <t>Latvia</t>
        </is>
      </c>
      <c r="B114" s="2" t="inlineStr">
        <is>
          <t>lv</t>
        </is>
      </c>
      <c r="C114" s="2" t="n">
        <v>1</v>
      </c>
      <c r="D114" s="3" t="inlineStr">
        <is>
          <t>Tranzakcijas problēmas</t>
        </is>
      </c>
      <c r="E114" s="3" t="inlineStr">
        <is>
          <t>Vienmēr kaut kadi tur darbi notiek  , tā nevar zibmaksājumu veikt , tā nevar Ienākt banka , vienmēr atradīsies kaut kāda problēma vai kļūda kura jums truces darboties , tāpēc laipni Lūgti Citadele un atsuksmes kur ir 5 star tas ir fake , lietoju jūsu banku tāpēc ka nav citas izvēles diemžēl  , paldies par labu servisu , aplikācija ir problemātikas katru reizi</t>
        </is>
      </c>
      <c r="F114" s="2" t="inlineStr">
        <is>
          <t>Janis 0zols</t>
        </is>
      </c>
      <c r="G114" s="2" t="inlineStr">
        <is>
          <t>13.6</t>
        </is>
      </c>
      <c r="H114" s="2" t="inlineStr">
        <is>
          <t>2023-12-09T03:36:35-07:00</t>
        </is>
      </c>
      <c r="I114" s="2" t="inlineStr">
        <is>
          <t>10673996577</t>
        </is>
      </c>
      <c r="J114" s="2" t="inlineStr">
        <is>
          <t>https://itunes.apple.com/lv/reviews/id1527333568</t>
        </is>
      </c>
      <c r="K114" s="2" t="n">
        <v>2</v>
      </c>
    </row>
    <row r="115">
      <c r="A115" s="2" t="inlineStr">
        <is>
          <t>Latvia</t>
        </is>
      </c>
      <c r="B115" s="2" t="inlineStr">
        <is>
          <t>lv</t>
        </is>
      </c>
      <c r="C115" s="2" t="n">
        <v>2</v>
      </c>
      <c r="D115" s="3" t="inlineStr">
        <is>
          <t>Mobile scan nestrādā</t>
        </is>
      </c>
      <c r="E115" s="3" t="inlineStr">
        <is>
          <t>Nav iespējams nekādā veidā noskenēt kodu, ja tas ir telefona ekrānā. Mobile scan ir iespējams lietot tikai tad, ja maksājumi tiek veikti no datora. Ļoti neērti un bezjēdzīgi.</t>
        </is>
      </c>
      <c r="F115" s="2" t="inlineStr">
        <is>
          <t>SJ9811</t>
        </is>
      </c>
      <c r="G115" s="2" t="inlineStr">
        <is>
          <t>13.4</t>
        </is>
      </c>
      <c r="H115" s="2" t="inlineStr">
        <is>
          <t>2023-09-12T02:15:50-07:00</t>
        </is>
      </c>
      <c r="I115" s="2" t="inlineStr">
        <is>
          <t>10360107536</t>
        </is>
      </c>
      <c r="J115" s="2" t="inlineStr">
        <is>
          <t>https://itunes.apple.com/lv/reviews/id584257643</t>
        </is>
      </c>
      <c r="K115" s="2" t="n">
        <v>2</v>
      </c>
    </row>
    <row r="116">
      <c r="A116" s="2" t="inlineStr">
        <is>
          <t>Latvia</t>
        </is>
      </c>
      <c r="B116" s="2" t="inlineStr">
        <is>
          <t>lv</t>
        </is>
      </c>
      <c r="C116" s="2" t="n">
        <v>5</v>
      </c>
      <c r="D116" s="3" t="inlineStr">
        <is>
          <t>Ikonas</t>
        </is>
      </c>
      <c r="E116" s="3" t="inlineStr">
        <is>
          <t>Man patīn kad ir jaunas lietotnes ikonas</t>
        </is>
      </c>
      <c r="F116" s="2" t="inlineStr">
        <is>
          <t>🧷Ziko🧷</t>
        </is>
      </c>
      <c r="G116" s="2" t="inlineStr">
        <is>
          <t>13.4</t>
        </is>
      </c>
      <c r="H116" s="2" t="inlineStr">
        <is>
          <t>2023-09-02T22:04:48-07:00</t>
        </is>
      </c>
      <c r="I116" s="2" t="inlineStr">
        <is>
          <t>10328645033</t>
        </is>
      </c>
      <c r="J116" s="2" t="inlineStr">
        <is>
          <t>https://itunes.apple.com/lv/reviews/id1350016099</t>
        </is>
      </c>
      <c r="K116" s="2" t="n">
        <v>2</v>
      </c>
    </row>
    <row r="117">
      <c r="A117" s="2" t="inlineStr">
        <is>
          <t>Latvia</t>
        </is>
      </c>
      <c r="B117" s="2" t="inlineStr">
        <is>
          <t>lv</t>
        </is>
      </c>
      <c r="C117" s="2" t="n">
        <v>1</v>
      </c>
      <c r="D117" s="3" t="inlineStr">
        <is>
          <t>Ну косяк же</t>
        </is>
      </c>
      <c r="E117" s="3" t="inlineStr">
        <is>
          <t>Когда после введения логина-пароля аппликация спрашивает код и переключаюсь на фото кодовой карты и обратно - нет возможности этот код ввести, виртуальная клавиатура больше не доступна. Тап что аппликацию использовать совершенно не возможно.</t>
        </is>
      </c>
      <c r="F117" s="2" t="inlineStr">
        <is>
          <t>Alex-7375</t>
        </is>
      </c>
      <c r="G117" s="2" t="inlineStr">
        <is>
          <t>13.1</t>
        </is>
      </c>
      <c r="H117" s="2" t="inlineStr">
        <is>
          <t>2023-05-24T02:21:43-07:00</t>
        </is>
      </c>
      <c r="I117" s="2" t="inlineStr">
        <is>
          <t>9959835797</t>
        </is>
      </c>
      <c r="J117" s="2" t="inlineStr">
        <is>
          <t>https://itunes.apple.com/lv/reviews/id399118566</t>
        </is>
      </c>
      <c r="K117" s="2" t="n">
        <v>2</v>
      </c>
    </row>
    <row r="118">
      <c r="A118" s="2" t="inlineStr">
        <is>
          <t>Latvia</t>
        </is>
      </c>
      <c r="B118" s="2" t="inlineStr">
        <is>
          <t>lv</t>
        </is>
      </c>
      <c r="C118" s="2" t="n">
        <v>5</v>
      </c>
      <c r="D118" s="3" t="inlineStr">
        <is>
          <t>SSL kļūda</t>
        </is>
      </c>
      <c r="E118" s="3" t="inlineStr">
        <is>
          <t>Pirms atvērt aplikāciju raksta SSL kļūda…nezinu vai tas ietekmē drošību atvērot..bet nav patīkami to redzēt.</t>
        </is>
      </c>
      <c r="F118" s="2" t="inlineStr">
        <is>
          <t>Lvdelfi</t>
        </is>
      </c>
      <c r="G118" s="2" t="inlineStr">
        <is>
          <t>13.1</t>
        </is>
      </c>
      <c r="H118" s="2" t="inlineStr">
        <is>
          <t>2023-05-05T09:39:38-07:00</t>
        </is>
      </c>
      <c r="I118" s="2" t="inlineStr">
        <is>
          <t>9895755133</t>
        </is>
      </c>
      <c r="J118" s="2" t="inlineStr">
        <is>
          <t>https://itunes.apple.com/lv/reviews/id244766505</t>
        </is>
      </c>
      <c r="K118" s="2" t="n">
        <v>2</v>
      </c>
    </row>
    <row r="119">
      <c r="A119" s="2" t="inlineStr">
        <is>
          <t>Latvia</t>
        </is>
      </c>
      <c r="B119" s="2" t="inlineStr">
        <is>
          <t>lv</t>
        </is>
      </c>
      <c r="C119" s="2" t="n">
        <v>2</v>
      </c>
      <c r="D119" s="3" t="inlineStr">
        <is>
          <t>Melns ekrāns</t>
        </is>
      </c>
      <c r="E119" s="3" t="inlineStr">
        <is>
          <t>Ļoti bieži izmantojot MobileScan atver lietotni un ir melns ekrāns, tad atkal par jaunu un tikai tad aiziet. Bieži arī vienkārši atverot aplikāciju ir tieši šī pati problēma, melns ekrāns un viss. Man ir Iphone 13 Pro Max, jaunākā Ios versija, aplikācija arī Citadele atjaunināta. Nekas nelīdz. Un šis jau ir vairākus mēnešus. Ļoti apgrūtina veikt maksājumus internetā!</t>
        </is>
      </c>
      <c r="F119" s="2" t="inlineStr">
        <is>
          <t>Badddaa</t>
        </is>
      </c>
      <c r="G119" s="2" t="inlineStr">
        <is>
          <t>13.0</t>
        </is>
      </c>
      <c r="H119" s="2" t="inlineStr">
        <is>
          <t>2023-04-01T13:34:09-07:00</t>
        </is>
      </c>
      <c r="I119" s="2" t="inlineStr">
        <is>
          <t>9776448917</t>
        </is>
      </c>
      <c r="J119" s="2" t="inlineStr">
        <is>
          <t>https://itunes.apple.com/lv/reviews/id521495447</t>
        </is>
      </c>
      <c r="K119" s="2" t="n">
        <v>2</v>
      </c>
    </row>
    <row r="120">
      <c r="A120" s="2" t="inlineStr">
        <is>
          <t>Latvia</t>
        </is>
      </c>
      <c r="B120" s="2" t="inlineStr">
        <is>
          <t>lv</t>
        </is>
      </c>
      <c r="C120" s="2" t="n">
        <v>1</v>
      </c>
      <c r="D120" s="3" t="inlineStr">
        <is>
          <t>…овноприложение</t>
        </is>
      </c>
      <c r="E120" s="3" t="inlineStr">
        <is>
          <t>После обновления , мобильное приложения перестало работать, при любой операции выдает ошибку,приложение снес с телефона, теперь не могу заинсталить заного, полный отстой</t>
        </is>
      </c>
      <c r="F120" s="2" t="inlineStr">
        <is>
          <t>Android444</t>
        </is>
      </c>
      <c r="G120" s="2" t="inlineStr">
        <is>
          <t>13.0</t>
        </is>
      </c>
      <c r="H120" s="2" t="inlineStr">
        <is>
          <t>2023-03-19T09:27:38-07:00</t>
        </is>
      </c>
      <c r="I120" s="2" t="inlineStr">
        <is>
          <t>9730504104</t>
        </is>
      </c>
      <c r="J120" s="2" t="inlineStr">
        <is>
          <t>https://itunes.apple.com/lv/reviews/id1174712803</t>
        </is>
      </c>
      <c r="K120" s="2" t="n">
        <v>2</v>
      </c>
    </row>
    <row r="121">
      <c r="A121" s="2" t="inlineStr">
        <is>
          <t>Latvia</t>
        </is>
      </c>
      <c r="B121" s="2" t="inlineStr">
        <is>
          <t>lv</t>
        </is>
      </c>
      <c r="C121" s="2" t="n">
        <v>1</v>
      </c>
      <c r="D121" s="3" t="inlineStr">
        <is>
          <t>Melns ekrāns</t>
        </is>
      </c>
      <c r="E121" s="3" t="inlineStr">
        <is>
          <t>Aplikācija uzkarās, un katru reizi tā jādzēš ārā un jāinstalē no jauna. Tad notiek jau aptuveni gada griezumā. Vidēji 2-3 reizes mēnesī.</t>
        </is>
      </c>
      <c r="F121" s="2" t="inlineStr">
        <is>
          <t>diaaaaassss</t>
        </is>
      </c>
      <c r="G121" s="2" t="inlineStr">
        <is>
          <t>13.0</t>
        </is>
      </c>
      <c r="H121" s="2" t="inlineStr">
        <is>
          <t>2023-03-14T05:09:08-07:00</t>
        </is>
      </c>
      <c r="I121" s="2" t="inlineStr">
        <is>
          <t>9712186505</t>
        </is>
      </c>
      <c r="J121" s="2" t="inlineStr">
        <is>
          <t>https://itunes.apple.com/lv/reviews/id953526853</t>
        </is>
      </c>
      <c r="K121" s="2" t="n">
        <v>2</v>
      </c>
    </row>
    <row r="122">
      <c r="A122" s="2" t="inlineStr">
        <is>
          <t>Latvia</t>
        </is>
      </c>
      <c r="B122" s="2" t="inlineStr">
        <is>
          <t>lv</t>
        </is>
      </c>
      <c r="C122" s="2" t="n">
        <v>1</v>
      </c>
      <c r="D122" s="3" t="inlineStr">
        <is>
          <t>Melns ekrāns</t>
        </is>
      </c>
      <c r="E122" s="3" t="inlineStr">
        <is>
          <t>Kārtējo reizi ir aplukācija jāpārinstalē, jo parādās melns ekrāns. Tas ir kaitinoši.</t>
        </is>
      </c>
      <c r="F122" s="2" t="inlineStr">
        <is>
          <t>Best suricata</t>
        </is>
      </c>
      <c r="G122" s="2" t="inlineStr">
        <is>
          <t>12.48</t>
        </is>
      </c>
      <c r="H122" s="2" t="inlineStr">
        <is>
          <t>2023-02-26T03:26:40-07:00</t>
        </is>
      </c>
      <c r="I122" s="2" t="inlineStr">
        <is>
          <t>9657260669</t>
        </is>
      </c>
      <c r="J122" s="2" t="inlineStr">
        <is>
          <t>https://itunes.apple.com/lv/reviews/id326775101</t>
        </is>
      </c>
      <c r="K122" s="2" t="n">
        <v>2</v>
      </c>
    </row>
    <row r="123">
      <c r="A123" s="2" t="inlineStr">
        <is>
          <t>Latvia</t>
        </is>
      </c>
      <c r="B123" s="2" t="inlineStr">
        <is>
          <t>lv</t>
        </is>
      </c>
      <c r="C123" s="2" t="n">
        <v>3</v>
      </c>
      <c r="D123" s="3" t="inlineStr">
        <is>
          <t>Red scren bug</t>
        </is>
      </c>
      <c r="E123" s="3" t="inlineStr">
        <is>
          <t>3 no 5 reizēm,kad mēģinu atvērt aplikāciju,parādās sarkans ekrāns un jāver vaļā pa jaunu. Gan vecajam,gan jaunajam telefonam.   Citiem paziņām ir tāda pati problēma. Tehniskais serviss ne visai pieklājīgi atbild,lai pārbaudu,vai man ir jaunākā versija. Bet pēc pārējām atsauksmēm ir skaidrs,ka daudziem ir šī problēma. 
3x from 5 when opening app,there is just red screen. On old and new phone the same. Also other friends have the same bug. When writing to tehnical help,they are not very polite and just answers that i need to check if i have newest version. But from other reviews it's clear that many users have similar problems.</t>
        </is>
      </c>
      <c r="F123" s="2" t="inlineStr">
        <is>
          <t>evijavarta</t>
        </is>
      </c>
      <c r="G123" s="2" t="inlineStr">
        <is>
          <t>12.48</t>
        </is>
      </c>
      <c r="H123" s="2" t="inlineStr">
        <is>
          <t>2023-02-19T07:32:29-07:00</t>
        </is>
      </c>
      <c r="I123" s="2" t="inlineStr">
        <is>
          <t>9634102041</t>
        </is>
      </c>
      <c r="J123" s="2" t="inlineStr">
        <is>
          <t>https://itunes.apple.com/lv/reviews/id596817186</t>
        </is>
      </c>
      <c r="K123" s="2" t="n">
        <v>2</v>
      </c>
    </row>
    <row r="124">
      <c r="A124" s="2" t="inlineStr">
        <is>
          <t>Latvia</t>
        </is>
      </c>
      <c r="B124" s="2" t="inlineStr">
        <is>
          <t>lv</t>
        </is>
      </c>
      <c r="C124" s="2" t="n">
        <v>1</v>
      </c>
      <c r="D124" s="3" t="inlineStr">
        <is>
          <t>Mobila aplikacija nestrada</t>
        </is>
      </c>
      <c r="E124" s="3" t="inlineStr">
        <is>
          <t>Reti, kad mobila aplikacija ir lietojama. Jau kadu menesi bija melns ekrans, tagad sarkans ekrans. Cik reizes jau neesmu izdzesusi aplikaciju, un atpakal instaleju. zel!!</t>
        </is>
      </c>
      <c r="F124" s="2" t="inlineStr">
        <is>
          <t>ievarinalds</t>
        </is>
      </c>
      <c r="G124" s="2" t="inlineStr">
        <is>
          <t>12.48</t>
        </is>
      </c>
      <c r="H124" s="2" t="inlineStr">
        <is>
          <t>2023-02-14T00:05:40-07:00</t>
        </is>
      </c>
      <c r="I124" s="2" t="inlineStr">
        <is>
          <t>9616068166</t>
        </is>
      </c>
      <c r="J124" s="2" t="inlineStr">
        <is>
          <t>https://itunes.apple.com/lv/reviews/id641470460</t>
        </is>
      </c>
      <c r="K124" s="2" t="n">
        <v>2</v>
      </c>
    </row>
    <row r="125">
      <c r="A125" s="2" t="inlineStr">
        <is>
          <t>Latvia</t>
        </is>
      </c>
      <c r="B125" s="2" t="inlineStr">
        <is>
          <t>lv</t>
        </is>
      </c>
      <c r="C125" s="2" t="n">
        <v>3</v>
      </c>
      <c r="D125" s="3" t="inlineStr">
        <is>
          <t>Problems using MobileScan</t>
        </is>
      </c>
      <c r="E125" s="3" t="inlineStr">
        <is>
          <t>When trying to authenticate a purchase on the phone, app won’t open or give a notification about MobileScan authorisation.</t>
        </is>
      </c>
      <c r="F125" s="2" t="inlineStr">
        <is>
          <t>temporaryec</t>
        </is>
      </c>
      <c r="G125" s="2" t="inlineStr">
        <is>
          <t>12.47</t>
        </is>
      </c>
      <c r="H125" s="2" t="inlineStr">
        <is>
          <t>2022-12-12T21:01:59-07:00</t>
        </is>
      </c>
      <c r="I125" s="2" t="inlineStr">
        <is>
          <t>9390560788</t>
        </is>
      </c>
      <c r="J125" s="2" t="inlineStr">
        <is>
          <t>https://itunes.apple.com/lv/reviews/id1467648957</t>
        </is>
      </c>
      <c r="K125" s="2" t="n">
        <v>2</v>
      </c>
    </row>
    <row r="126">
      <c r="A126" s="2" t="inlineStr">
        <is>
          <t>Latvia</t>
        </is>
      </c>
      <c r="B126" s="2" t="inlineStr">
        <is>
          <t>lv</t>
        </is>
      </c>
      <c r="C126" s="2" t="n">
        <v>1</v>
      </c>
      <c r="D126" s="3" t="inlineStr">
        <is>
          <t>Salabojiet bugs!!!</t>
        </is>
      </c>
      <c r="E126" s="3" t="inlineStr">
        <is>
          <t>Katru nedēļu jāinstalē app no jauna… atvērot app - melns vai sarkans ekrāns… palīdz tikai ja nodzēš un ielādē app no jauna.</t>
        </is>
      </c>
      <c r="F126" s="2" t="inlineStr">
        <is>
          <t>Ingridadem</t>
        </is>
      </c>
      <c r="G126" s="2" t="inlineStr">
        <is>
          <t>12.47</t>
        </is>
      </c>
      <c r="H126" s="2" t="inlineStr">
        <is>
          <t>2022-12-09T07:54:34-07:00</t>
        </is>
      </c>
      <c r="I126" s="2" t="inlineStr">
        <is>
          <t>9377831093</t>
        </is>
      </c>
      <c r="J126" s="2" t="inlineStr">
        <is>
          <t>https://itunes.apple.com/lv/reviews/id199565521</t>
        </is>
      </c>
      <c r="K126" s="2" t="n">
        <v>2</v>
      </c>
    </row>
    <row r="127">
      <c r="A127" s="2" t="inlineStr">
        <is>
          <t>Latvia</t>
        </is>
      </c>
      <c r="B127" s="2" t="inlineStr">
        <is>
          <t>lv</t>
        </is>
      </c>
      <c r="C127" s="2" t="n">
        <v>1</v>
      </c>
      <c r="D127" s="3" t="inlineStr">
        <is>
          <t>Nekas pilnvērtīgi nestrādā!</t>
        </is>
      </c>
      <c r="E127" s="3" t="inlineStr">
        <is>
          <t>Ātrais atlikums-neiet
Paziņojumi-nenāk
Atcerēties mani, saglabāt-neiet
Pie ievadiet MobileSCAN PIN- kļūda! Kaut kas nogāja greizi. Pameiģiniet vel! 
Vienu reizi jau pārinstalēju.</t>
        </is>
      </c>
      <c r="F127" s="2" t="inlineStr">
        <is>
          <t>Burlakss</t>
        </is>
      </c>
      <c r="G127" s="2" t="inlineStr">
        <is>
          <t>12.47</t>
        </is>
      </c>
      <c r="H127" s="2" t="inlineStr">
        <is>
          <t>2022-12-05T04:24:37-07:00</t>
        </is>
      </c>
      <c r="I127" s="2" t="inlineStr">
        <is>
          <t>9363184138</t>
        </is>
      </c>
      <c r="J127" s="2" t="inlineStr">
        <is>
          <t>https://itunes.apple.com/lv/reviews/id538415840</t>
        </is>
      </c>
      <c r="K127" s="2" t="n">
        <v>2</v>
      </c>
    </row>
    <row r="128">
      <c r="A128" s="2" t="inlineStr">
        <is>
          <t>Latvia</t>
        </is>
      </c>
      <c r="B128" s="2" t="inlineStr">
        <is>
          <t>lv</t>
        </is>
      </c>
      <c r="C128" s="2" t="n">
        <v>1</v>
      </c>
      <c r="D128" s="3" t="inlineStr">
        <is>
          <t>terrible app</t>
        </is>
      </c>
      <c r="E128" s="3" t="inlineStr">
        <is>
          <t>worst ever. Never co es up to IOS updates. If you want to live “off-line”, definetely choose this. Works out exactly in 50% cases</t>
        </is>
      </c>
      <c r="F128" s="2" t="inlineStr">
        <is>
          <t>donna-078</t>
        </is>
      </c>
      <c r="G128" s="2" t="inlineStr">
        <is>
          <t>12.47</t>
        </is>
      </c>
      <c r="H128" s="2" t="inlineStr">
        <is>
          <t>2022-12-02T13:35:15-07:00</t>
        </is>
      </c>
      <c r="I128" s="2" t="inlineStr">
        <is>
          <t>9353707439</t>
        </is>
      </c>
      <c r="J128" s="2" t="inlineStr">
        <is>
          <t>https://itunes.apple.com/lv/reviews/id930873476</t>
        </is>
      </c>
      <c r="K128" s="2" t="n">
        <v>2</v>
      </c>
    </row>
    <row r="129">
      <c r="A129" s="2" t="inlineStr">
        <is>
          <t>Latvia</t>
        </is>
      </c>
      <c r="B129" s="2" t="inlineStr">
        <is>
          <t>lv</t>
        </is>
      </c>
      <c r="C129" s="2" t="n">
        <v>1</v>
      </c>
      <c r="D129" s="3" t="inlineStr">
        <is>
          <t>Darbības problēmas</t>
        </is>
      </c>
      <c r="E129" s="3" t="inlineStr">
        <is>
          <t>Nekas nemainās. Regulāri nevar apstiprināt maksājumus, atveras sarkans ekrāns un viss. Gadiem ilgas problēmas.</t>
        </is>
      </c>
      <c r="F129" s="2" t="inlineStr">
        <is>
          <t>Roliits</t>
        </is>
      </c>
      <c r="G129" s="2" t="inlineStr">
        <is>
          <t>12.47</t>
        </is>
      </c>
      <c r="H129" s="2" t="inlineStr">
        <is>
          <t>2022-10-23T13:05:24-07:00</t>
        </is>
      </c>
      <c r="I129" s="2" t="inlineStr">
        <is>
          <t>9215050290</t>
        </is>
      </c>
      <c r="J129" s="2" t="inlineStr">
        <is>
          <t>https://itunes.apple.com/lv/reviews/id320430517</t>
        </is>
      </c>
      <c r="K129" s="2" t="n">
        <v>2</v>
      </c>
    </row>
    <row r="130">
      <c r="A130" s="2" t="inlineStr">
        <is>
          <t>Latvia</t>
        </is>
      </c>
      <c r="B130" s="2" t="inlineStr">
        <is>
          <t>lv</t>
        </is>
      </c>
      <c r="C130" s="2" t="n">
        <v>1</v>
      </c>
      <c r="D130" s="3" t="inlineStr">
        <is>
          <t>Citadele</t>
        </is>
      </c>
      <c r="E130" s="3" t="inlineStr">
        <is>
          <t>Neiesaku lietot šo banku mani neapmierināja</t>
        </is>
      </c>
      <c r="F130" s="2" t="inlineStr">
        <is>
          <t>Den4ik20188</t>
        </is>
      </c>
      <c r="G130" s="2" t="inlineStr">
        <is>
          <t>12.46</t>
        </is>
      </c>
      <c r="H130" s="2" t="inlineStr">
        <is>
          <t>2022-08-27T05:18:13-07:00</t>
        </is>
      </c>
      <c r="I130" s="2" t="inlineStr">
        <is>
          <t>9022708714</t>
        </is>
      </c>
      <c r="J130" s="2" t="inlineStr">
        <is>
          <t>https://itunes.apple.com/lv/reviews/id704507383</t>
        </is>
      </c>
      <c r="K130" s="2" t="n">
        <v>2</v>
      </c>
    </row>
    <row r="131">
      <c r="A131" s="2" t="inlineStr">
        <is>
          <t>Latvia</t>
        </is>
      </c>
      <c r="B131" s="2" t="inlineStr">
        <is>
          <t>lv</t>
        </is>
      </c>
      <c r="C131" s="2" t="n">
        <v>5</v>
      </c>
      <c r="D131" s="3" t="inlineStr">
        <is>
          <t>Citadele pielikums</t>
        </is>
      </c>
      <c r="E131" s="3" t="inlineStr">
        <is>
          <t>Nestrādā! Regulāri pazūd! 😡</t>
        </is>
      </c>
      <c r="F131" s="2" t="inlineStr">
        <is>
          <t>Mmmmmmbvvvvvhhhhh</t>
        </is>
      </c>
      <c r="G131" s="2" t="inlineStr">
        <is>
          <t>12.46</t>
        </is>
      </c>
      <c r="H131" s="2" t="inlineStr">
        <is>
          <t>2022-08-25T10:51:50-07:00</t>
        </is>
      </c>
      <c r="I131" s="2" t="inlineStr">
        <is>
          <t>9016127981</t>
        </is>
      </c>
      <c r="J131" s="2" t="inlineStr">
        <is>
          <t>https://itunes.apple.com/lv/reviews/id1441355744</t>
        </is>
      </c>
      <c r="K131" s="2" t="n">
        <v>2</v>
      </c>
    </row>
    <row r="132">
      <c r="A132" s="2" t="inlineStr">
        <is>
          <t>Latvia</t>
        </is>
      </c>
      <c r="B132" s="2" t="inlineStr">
        <is>
          <t>lv</t>
        </is>
      </c>
      <c r="C132" s="2" t="n">
        <v>5</v>
      </c>
      <c r="D132" s="3" t="inlineStr">
        <is>
          <t>Kļūdas</t>
        </is>
      </c>
      <c r="E132" s="3" t="inlineStr">
        <is>
          <t>Regulāri nestradā maksājumi,īpaši no Tele2 un Enefit rēķiniem pa tiešo nevar veikt apmaksu</t>
        </is>
      </c>
      <c r="F132" s="2" t="inlineStr">
        <is>
          <t>Janusex44</t>
        </is>
      </c>
      <c r="G132" s="2" t="inlineStr">
        <is>
          <t>12.46</t>
        </is>
      </c>
      <c r="H132" s="2" t="inlineStr">
        <is>
          <t>2022-07-08T21:36:14-07:00</t>
        </is>
      </c>
      <c r="I132" s="2" t="inlineStr">
        <is>
          <t>8855345987</t>
        </is>
      </c>
      <c r="J132" s="2" t="inlineStr">
        <is>
          <t>https://itunes.apple.com/lv/reviews/id156306618</t>
        </is>
      </c>
      <c r="K132" s="2" t="n">
        <v>2</v>
      </c>
    </row>
    <row r="133">
      <c r="A133" s="2" t="inlineStr">
        <is>
          <t>Latvia</t>
        </is>
      </c>
      <c r="B133" s="2" t="inlineStr">
        <is>
          <t>lv</t>
        </is>
      </c>
      <c r="C133" s="2" t="n">
        <v>1</v>
      </c>
      <c r="D133" s="3" t="inlineStr">
        <is>
          <t>Login issues</t>
        </is>
      </c>
      <c r="E133" s="3" t="inlineStr">
        <is>
          <t>After the latest update crashes 1 per 3 attempts to login</t>
        </is>
      </c>
      <c r="F133" s="2" t="inlineStr">
        <is>
          <t>pinkfreudmd</t>
        </is>
      </c>
      <c r="G133" s="2" t="inlineStr">
        <is>
          <t>12.45</t>
        </is>
      </c>
      <c r="H133" s="2" t="inlineStr">
        <is>
          <t>2022-06-08T03:25:54-07:00</t>
        </is>
      </c>
      <c r="I133" s="2" t="inlineStr">
        <is>
          <t>8753056750</t>
        </is>
      </c>
      <c r="J133" s="2" t="inlineStr">
        <is>
          <t>https://itunes.apple.com/lv/reviews/id963385833</t>
        </is>
      </c>
      <c r="K133" s="2" t="n">
        <v>2</v>
      </c>
    </row>
    <row r="134">
      <c r="A134" s="2" t="inlineStr">
        <is>
          <t>Latvia</t>
        </is>
      </c>
      <c r="B134" s="2" t="inlineStr">
        <is>
          <t>lv</t>
        </is>
      </c>
      <c r="C134" s="2" t="n">
        <v>2</v>
      </c>
      <c r="D134" s="3" t="inlineStr">
        <is>
          <t>Blank screen</t>
        </is>
      </c>
      <c r="E134" s="3" t="inlineStr">
        <is>
          <t>When I open app only 1 from 5 times app works normal, in other time i see only blank screen. And I should delete and re-install app one more time.</t>
        </is>
      </c>
      <c r="F134" s="2" t="inlineStr">
        <is>
          <t>Olga_22052022</t>
        </is>
      </c>
      <c r="G134" s="2" t="inlineStr">
        <is>
          <t>12.45</t>
        </is>
      </c>
      <c r="H134" s="2" t="inlineStr">
        <is>
          <t>2022-05-22T01:12:47-07:00</t>
        </is>
      </c>
      <c r="I134" s="2" t="inlineStr">
        <is>
          <t>8696042765</t>
        </is>
      </c>
      <c r="J134" s="2" t="inlineStr">
        <is>
          <t>https://itunes.apple.com/lv/reviews/id1410921302</t>
        </is>
      </c>
      <c r="K134" s="2" t="n">
        <v>2</v>
      </c>
    </row>
    <row r="135">
      <c r="A135" s="2" t="inlineStr">
        <is>
          <t>Latvia</t>
        </is>
      </c>
      <c r="B135" s="2" t="inlineStr">
        <is>
          <t>lv</t>
        </is>
      </c>
      <c r="C135" s="2" t="n">
        <v>5</v>
      </c>
      <c r="D135" s="3" t="inlineStr">
        <is>
          <t>Nice app</t>
        </is>
      </c>
      <c r="E135" s="3" t="inlineStr">
        <is>
          <t>Please fix issue that app sometimes quits after 1 second</t>
        </is>
      </c>
      <c r="F135" s="2" t="inlineStr">
        <is>
          <t>ЙAARD</t>
        </is>
      </c>
      <c r="G135" s="2" t="inlineStr">
        <is>
          <t>12.45</t>
        </is>
      </c>
      <c r="H135" s="2" t="inlineStr">
        <is>
          <t>2022-05-20T05:21:10-07:00</t>
        </is>
      </c>
      <c r="I135" s="2" t="inlineStr">
        <is>
          <t>8689679733</t>
        </is>
      </c>
      <c r="J135" s="2" t="inlineStr">
        <is>
          <t>https://itunes.apple.com/lv/reviews/id147247978</t>
        </is>
      </c>
      <c r="K135" s="2" t="n">
        <v>2</v>
      </c>
    </row>
    <row r="136">
      <c r="A136" s="2" t="inlineStr">
        <is>
          <t>Latvia</t>
        </is>
      </c>
      <c r="B136" s="2" t="inlineStr">
        <is>
          <t>lv</t>
        </is>
      </c>
      <c r="C136" s="2" t="n">
        <v>4</v>
      </c>
      <c r="D136" s="3" t="inlineStr">
        <is>
          <t>The Widget</t>
        </is>
      </c>
      <c r="E136" s="3" t="inlineStr">
        <is>
          <t>This is a great banking app, there is no doubt in that, but when I open the app through the widget, it sometimes doesn’t authorise.</t>
        </is>
      </c>
      <c r="F136" s="2" t="inlineStr">
        <is>
          <t>Lion_Lv</t>
        </is>
      </c>
      <c r="G136" s="2" t="inlineStr">
        <is>
          <t>12.45</t>
        </is>
      </c>
      <c r="H136" s="2" t="inlineStr">
        <is>
          <t>2022-05-08T07:02:11-07:00</t>
        </is>
      </c>
      <c r="I136" s="2" t="inlineStr">
        <is>
          <t>8650131507</t>
        </is>
      </c>
      <c r="J136" s="2" t="inlineStr">
        <is>
          <t>https://itunes.apple.com/lv/reviews/id794679289</t>
        </is>
      </c>
      <c r="K136" s="2" t="n">
        <v>2</v>
      </c>
    </row>
    <row r="137">
      <c r="A137" s="2" t="inlineStr">
        <is>
          <t>Latvia</t>
        </is>
      </c>
      <c r="B137" s="2" t="inlineStr">
        <is>
          <t>lv</t>
        </is>
      </c>
      <c r="C137" s="2" t="n">
        <v>3</v>
      </c>
      <c r="D137" s="3" t="inlineStr">
        <is>
          <t>Black screen</t>
        </is>
      </c>
      <c r="E137" s="3" t="inlineStr">
        <is>
          <t>While paying with face ID sometimes just opens balck screen and its imposible to continue.</t>
        </is>
      </c>
      <c r="F137" s="2" t="inlineStr">
        <is>
          <t>EndijsO</t>
        </is>
      </c>
      <c r="G137" s="2" t="inlineStr">
        <is>
          <t>12.45</t>
        </is>
      </c>
      <c r="H137" s="2" t="inlineStr">
        <is>
          <t>2022-05-06T21:21:01-07:00</t>
        </is>
      </c>
      <c r="I137" s="2" t="inlineStr">
        <is>
          <t>8645114542</t>
        </is>
      </c>
      <c r="J137" s="2" t="inlineStr">
        <is>
          <t>https://itunes.apple.com/lv/reviews/id944347544</t>
        </is>
      </c>
      <c r="K137" s="2" t="n">
        <v>2</v>
      </c>
    </row>
    <row r="138">
      <c r="A138" s="2" t="inlineStr">
        <is>
          <t>Latvia</t>
        </is>
      </c>
      <c r="B138" s="2" t="inlineStr">
        <is>
          <t>lv</t>
        </is>
      </c>
      <c r="C138" s="2" t="n">
        <v>4</v>
      </c>
      <c r="D138" s="3" t="inlineStr">
        <is>
          <t>Black screen</t>
        </is>
      </c>
      <c r="E138" s="3" t="inlineStr">
        <is>
          <t>It is a great App. Except one issue. Often when I try to open App I see just black screen. It is annoying.</t>
        </is>
      </c>
      <c r="F138" s="2" t="inlineStr">
        <is>
          <t>OleksandrKo</t>
        </is>
      </c>
      <c r="G138" s="2" t="inlineStr">
        <is>
          <t>12.45</t>
        </is>
      </c>
      <c r="H138" s="2" t="inlineStr">
        <is>
          <t>2022-05-02T01:39:05-07:00</t>
        </is>
      </c>
      <c r="I138" s="2" t="inlineStr">
        <is>
          <t>8628613993</t>
        </is>
      </c>
      <c r="J138" s="2" t="inlineStr">
        <is>
          <t>https://itunes.apple.com/lv/reviews/id1398622639</t>
        </is>
      </c>
      <c r="K138" s="2" t="n">
        <v>2</v>
      </c>
    </row>
    <row r="139">
      <c r="A139" s="2" t="inlineStr">
        <is>
          <t>Latvia</t>
        </is>
      </c>
      <c r="B139" s="2" t="inlineStr">
        <is>
          <t>lv</t>
        </is>
      </c>
      <c r="C139" s="2" t="n">
        <v>1</v>
      </c>
      <c r="D139" s="3" t="inlineStr">
        <is>
          <t>Bugged</t>
        </is>
      </c>
      <c r="E139" s="3" t="inlineStr">
        <is>
          <t>Bugged. The app does nothing when second pin code is entered.  No way to login with MobileScan.</t>
        </is>
      </c>
      <c r="F139" s="2" t="inlineStr">
        <is>
          <t>Galliec</t>
        </is>
      </c>
      <c r="G139" s="2" t="inlineStr">
        <is>
          <t>12.45</t>
        </is>
      </c>
      <c r="H139" s="2" t="inlineStr">
        <is>
          <t>2022-04-27T02:18:59-07:00</t>
        </is>
      </c>
      <c r="I139" s="2" t="inlineStr">
        <is>
          <t>8610893337</t>
        </is>
      </c>
      <c r="J139" s="2" t="inlineStr">
        <is>
          <t>https://itunes.apple.com/lv/reviews/id340678224</t>
        </is>
      </c>
      <c r="K139" s="2" t="n">
        <v>2</v>
      </c>
    </row>
    <row r="140">
      <c r="A140" s="2" t="inlineStr">
        <is>
          <t>Latvia</t>
        </is>
      </c>
      <c r="B140" s="2" t="inlineStr">
        <is>
          <t>lv</t>
        </is>
      </c>
      <c r="C140" s="2" t="n">
        <v>1</v>
      </c>
      <c r="D140" s="3" t="inlineStr">
        <is>
          <t>Works very bad.</t>
        </is>
      </c>
      <c r="E140" s="3" t="inlineStr">
        <is>
          <t>In comparison with orher banking apps this one is so so behind in development. A new card was delivered, I went to activate it and now it’s not displayed at all. I have to go to support for help? Also never shows fast balance.</t>
        </is>
      </c>
      <c r="F140" s="2" t="inlineStr">
        <is>
          <t>nowaaay333</t>
        </is>
      </c>
      <c r="G140" s="2" t="inlineStr">
        <is>
          <t>12.45</t>
        </is>
      </c>
      <c r="H140" s="2" t="inlineStr">
        <is>
          <t>2022-04-26T14:38:39-07:00</t>
        </is>
      </c>
      <c r="I140" s="2" t="inlineStr">
        <is>
          <t>8609414521</t>
        </is>
      </c>
      <c r="J140" s="2" t="inlineStr">
        <is>
          <t>https://itunes.apple.com/lv/reviews/id289628282</t>
        </is>
      </c>
      <c r="K140" s="2" t="n">
        <v>2</v>
      </c>
    </row>
    <row r="141">
      <c r="A141" s="2" t="inlineStr">
        <is>
          <t>Latvia</t>
        </is>
      </c>
      <c r="B141" s="2" t="inlineStr">
        <is>
          <t>lv</t>
        </is>
      </c>
      <c r="C141" s="2" t="n">
        <v>4</v>
      </c>
      <c r="D141" s="3" t="inlineStr">
        <is>
          <t>Иногда вылетает</t>
        </is>
      </c>
      <c r="E141" s="3" t="inlineStr">
        <is>
          <t>Иногда при входе в приложение появляется ошибка, из-за чего приложение вылетает. В остальном же приложение очень даже хорошо сделано</t>
        </is>
      </c>
      <c r="F141" s="2" t="inlineStr">
        <is>
          <t>Horowary</t>
        </is>
      </c>
      <c r="G141" s="2" t="inlineStr">
        <is>
          <t>12.44</t>
        </is>
      </c>
      <c r="H141" s="2" t="inlineStr">
        <is>
          <t>2022-03-21T10:33:51-07:00</t>
        </is>
      </c>
      <c r="I141" s="2" t="inlineStr">
        <is>
          <t>8480509212</t>
        </is>
      </c>
      <c r="J141" s="2" t="inlineStr">
        <is>
          <t>https://itunes.apple.com/lv/reviews/id1390982561</t>
        </is>
      </c>
      <c r="K141" s="2" t="n">
        <v>2</v>
      </c>
    </row>
    <row r="142">
      <c r="A142" s="2" t="inlineStr">
        <is>
          <t>Latvia</t>
        </is>
      </c>
      <c r="B142" s="2" t="inlineStr">
        <is>
          <t>lv</t>
        </is>
      </c>
      <c r="C142" s="2" t="n">
        <v>2</v>
      </c>
      <c r="D142" s="3" t="inlineStr">
        <is>
          <t>Par daudz kļūdu</t>
        </is>
      </c>
      <c r="E142" s="3" t="inlineStr">
        <is>
          <t>Pirms update nebija problēmu, viss apmierināja. 
Pēc update mani met ārā no aplikācijas, kad vēlos veikt maksājumu. Pin kodu jāievada 3x lai aplikacija saprastu ka tas ir īstais, jo visu laiku met kļūdu. Nu nevar bankai būt tāda aplikācija. Tai jābūt uzticamai, bet šobrīd tā tieši izskatās pēc krāpnieku versijas ar ļoti daudz aizdomīgiem gļukiem.</t>
        </is>
      </c>
      <c r="F142" s="2" t="inlineStr">
        <is>
          <t>Anunamatata</t>
        </is>
      </c>
      <c r="G142" s="2" t="inlineStr">
        <is>
          <t>12.44</t>
        </is>
      </c>
      <c r="H142" s="2" t="inlineStr">
        <is>
          <t>2022-03-17T23:59:23-07:00</t>
        </is>
      </c>
      <c r="I142" s="2" t="inlineStr">
        <is>
          <t>8467745651</t>
        </is>
      </c>
      <c r="J142" s="2" t="inlineStr">
        <is>
          <t>https://itunes.apple.com/lv/reviews/id1075324188</t>
        </is>
      </c>
      <c r="K142" s="2" t="n">
        <v>2</v>
      </c>
    </row>
    <row r="143">
      <c r="A143" s="2" t="inlineStr">
        <is>
          <t>Latvia</t>
        </is>
      </c>
      <c r="B143" s="2" t="inlineStr">
        <is>
          <t>lv</t>
        </is>
      </c>
      <c r="C143" s="2" t="n">
        <v>2</v>
      </c>
      <c r="D143" s="3" t="inlineStr">
        <is>
          <t>TouchID</t>
        </is>
      </c>
      <c r="E143" s="3" t="inlineStr">
        <is>
          <t>Почему больше нельзя войти в свой счет через TouchID. Требует постоянно логин и пароль входа. Раньше все работало.</t>
        </is>
      </c>
      <c r="F143" s="2" t="inlineStr">
        <is>
          <t>ваадька</t>
        </is>
      </c>
      <c r="G143" s="2" t="inlineStr">
        <is>
          <t>12.44</t>
        </is>
      </c>
      <c r="H143" s="2" t="inlineStr">
        <is>
          <t>2022-03-03T02:58:23-07:00</t>
        </is>
      </c>
      <c r="I143" s="2" t="inlineStr">
        <is>
          <t>8415391591</t>
        </is>
      </c>
      <c r="J143" s="2" t="inlineStr">
        <is>
          <t>https://itunes.apple.com/lv/reviews/id1066182224</t>
        </is>
      </c>
      <c r="K143" s="2" t="n">
        <v>2</v>
      </c>
    </row>
    <row r="144">
      <c r="A144" s="2" t="inlineStr">
        <is>
          <t>Latvia</t>
        </is>
      </c>
      <c r="B144" s="2" t="inlineStr">
        <is>
          <t>lv</t>
        </is>
      </c>
      <c r="C144" s="2" t="n">
        <v>3</v>
      </c>
      <c r="D144" s="3" t="inlineStr">
        <is>
          <t>Bank</t>
        </is>
      </c>
      <c r="E144" s="3" t="inlineStr">
        <is>
          <t>Can’t get in my bank.</t>
        </is>
      </c>
      <c r="F144" s="2" t="inlineStr">
        <is>
          <t>Nohlahgus</t>
        </is>
      </c>
      <c r="G144" s="2" t="inlineStr">
        <is>
          <t>12.44</t>
        </is>
      </c>
      <c r="H144" s="2" t="inlineStr">
        <is>
          <t>2022-02-26T07:41:07-07:00</t>
        </is>
      </c>
      <c r="I144" s="2" t="inlineStr">
        <is>
          <t>8398694228</t>
        </is>
      </c>
      <c r="J144" s="2" t="inlineStr">
        <is>
          <t>https://itunes.apple.com/lv/reviews/id917242110</t>
        </is>
      </c>
      <c r="K144" s="2" t="n">
        <v>2</v>
      </c>
    </row>
    <row r="145">
      <c r="A145" s="2" t="inlineStr">
        <is>
          <t>Latvia</t>
        </is>
      </c>
      <c r="B145" s="2" t="inlineStr">
        <is>
          <t>lv</t>
        </is>
      </c>
      <c r="C145" s="2" t="n">
        <v>1</v>
      </c>
      <c r="D145" s="3" t="inlineStr">
        <is>
          <t>Пинкод</t>
        </is>
      </c>
      <c r="E145" s="3" t="inlineStr">
        <is>
          <t>Не дает создать пинкод- пишет ошибку после повторения кода.</t>
        </is>
      </c>
      <c r="F145" s="2" t="inlineStr">
        <is>
          <t>Andrey Frost</t>
        </is>
      </c>
      <c r="G145" s="2" t="inlineStr">
        <is>
          <t>12.44</t>
        </is>
      </c>
      <c r="H145" s="2" t="inlineStr">
        <is>
          <t>2022-02-21T00:00:42-07:00</t>
        </is>
      </c>
      <c r="I145" s="2" t="inlineStr">
        <is>
          <t>8379726719</t>
        </is>
      </c>
      <c r="J145" s="2" t="inlineStr">
        <is>
          <t>https://itunes.apple.com/lv/reviews/id586534715</t>
        </is>
      </c>
      <c r="K145" s="2" t="n">
        <v>2</v>
      </c>
    </row>
    <row r="146">
      <c r="A146" s="2" t="inlineStr">
        <is>
          <t>Latvia</t>
        </is>
      </c>
      <c r="B146" s="2" t="inlineStr">
        <is>
          <t>lv</t>
        </is>
      </c>
      <c r="C146" s="2" t="n">
        <v>2</v>
      </c>
      <c r="D146" s="3" t="inlineStr">
        <is>
          <t>🥸</t>
        </is>
      </c>
      <c r="E146" s="3" t="inlineStr">
        <is>
          <t>Face ID isn’t working and mobile scan isn’t working as well🥲</t>
        </is>
      </c>
      <c r="F146" s="2" t="inlineStr">
        <is>
          <t>imvsmodel</t>
        </is>
      </c>
      <c r="G146" s="2" t="inlineStr">
        <is>
          <t>12.44</t>
        </is>
      </c>
      <c r="H146" s="2" t="inlineStr">
        <is>
          <t>2022-02-20T14:57:32-07:00</t>
        </is>
      </c>
      <c r="I146" s="2" t="inlineStr">
        <is>
          <t>8378503862</t>
        </is>
      </c>
      <c r="J146" s="2" t="inlineStr">
        <is>
          <t>https://itunes.apple.com/lv/reviews/id1242888200</t>
        </is>
      </c>
      <c r="K146" s="2" t="n">
        <v>2</v>
      </c>
    </row>
    <row r="147">
      <c r="A147" s="2" t="inlineStr">
        <is>
          <t>Latvia</t>
        </is>
      </c>
      <c r="B147" s="2" t="inlineStr">
        <is>
          <t>lv</t>
        </is>
      </c>
      <c r="C147" s="2" t="n">
        <v>2</v>
      </c>
      <c r="D147" s="3" t="inlineStr">
        <is>
          <t>Logo</t>
        </is>
      </c>
      <c r="E147" s="3" t="inlineStr">
        <is>
          <t>New logo is terribly ugly.. return the previous one please</t>
        </is>
      </c>
      <c r="F147" s="2" t="inlineStr">
        <is>
          <t>jsjbtvjdjb</t>
        </is>
      </c>
      <c r="G147" s="2" t="inlineStr">
        <is>
          <t>12.44</t>
        </is>
      </c>
      <c r="H147" s="2" t="inlineStr">
        <is>
          <t>2022-02-19T01:54:18-07:00</t>
        </is>
      </c>
      <c r="I147" s="2" t="inlineStr">
        <is>
          <t>8372340601</t>
        </is>
      </c>
      <c r="J147" s="2" t="inlineStr">
        <is>
          <t>https://itunes.apple.com/lv/reviews/id760296555</t>
        </is>
      </c>
      <c r="K147" s="2" t="n">
        <v>2</v>
      </c>
    </row>
    <row r="148">
      <c r="A148" s="2" t="inlineStr">
        <is>
          <t>Latvia</t>
        </is>
      </c>
      <c r="B148" s="2" t="inlineStr">
        <is>
          <t>lv</t>
        </is>
      </c>
      <c r="C148" s="2" t="n">
        <v>4</v>
      </c>
      <c r="D148" s="3" t="inlineStr">
        <is>
          <t>Review</t>
        </is>
      </c>
      <c r="E148" s="3" t="inlineStr">
        <is>
          <t>Hi. Since last update the app constantly asks for auth information like username. The checkbox "Saglabāt" ain't working.</t>
        </is>
      </c>
      <c r="F148" s="2" t="inlineStr">
        <is>
          <t>Sergejs.St</t>
        </is>
      </c>
      <c r="G148" s="2" t="inlineStr">
        <is>
          <t>12.43</t>
        </is>
      </c>
      <c r="H148" s="2" t="inlineStr">
        <is>
          <t>2021-12-21T03:33:35-07:00</t>
        </is>
      </c>
      <c r="I148" s="2" t="inlineStr">
        <is>
          <t>8153201776</t>
        </is>
      </c>
      <c r="J148" s="2" t="inlineStr">
        <is>
          <t>https://itunes.apple.com/lv/reviews/id1215224596</t>
        </is>
      </c>
      <c r="K148" s="2" t="n">
        <v>2</v>
      </c>
    </row>
    <row r="149">
      <c r="A149" s="2" t="inlineStr">
        <is>
          <t>Latvia</t>
        </is>
      </c>
      <c r="B149" s="2" t="inlineStr">
        <is>
          <t>lv</t>
        </is>
      </c>
      <c r="C149" s="2" t="n">
        <v>1</v>
      </c>
      <c r="D149" s="3" t="inlineStr">
        <is>
          <t>Regulāri nobrūk aplikācija un Mobile scan.</t>
        </is>
      </c>
      <c r="E149" s="3" t="inlineStr">
        <is>
          <t>Miskaste ne aplikācija! Regulāri nobrūk Mobile scan, karās maksājumu saite uz aplikācijas apstiprināšanu. Ļoti slikts klientu serviss.</t>
        </is>
      </c>
      <c r="F149" s="2" t="inlineStr">
        <is>
          <t>Jeekabsons</t>
        </is>
      </c>
      <c r="G149" s="2" t="inlineStr">
        <is>
          <t>12.43</t>
        </is>
      </c>
      <c r="H149" s="2" t="inlineStr">
        <is>
          <t>2021-12-05T01:03:42-07:00</t>
        </is>
      </c>
      <c r="I149" s="2" t="inlineStr">
        <is>
          <t>8097068557</t>
        </is>
      </c>
      <c r="J149" s="2" t="inlineStr">
        <is>
          <t>https://itunes.apple.com/lv/reviews/id391428258</t>
        </is>
      </c>
      <c r="K149" s="2" t="n">
        <v>2</v>
      </c>
    </row>
    <row r="150">
      <c r="A150" s="2" t="inlineStr">
        <is>
          <t>Latvia</t>
        </is>
      </c>
      <c r="B150" s="2" t="inlineStr">
        <is>
          <t>lv</t>
        </is>
      </c>
      <c r="C150" s="2" t="n">
        <v>5</v>
      </c>
      <c r="D150" s="3" t="inlineStr">
        <is>
          <t>Kļūda novērsta</t>
        </is>
      </c>
      <c r="E150" s="3" t="inlineStr">
        <is>
          <t>Beidzot aplikācija strādā, tikai nepieciešams nevis apdeitot aplikāciju, bet gan izdzēst un tad reģistrēties. Tikai apdeitojot aplikāciju nav iespējams reģistrēties, joprojām parādās kļūdas paziņojums.</t>
        </is>
      </c>
      <c r="F150" s="2" t="inlineStr">
        <is>
          <t>White House ghost</t>
        </is>
      </c>
      <c r="G150" s="2" t="inlineStr">
        <is>
          <t>12.43</t>
        </is>
      </c>
      <c r="H150" s="2" t="inlineStr">
        <is>
          <t>2021-12-03T02:45:09-07:00</t>
        </is>
      </c>
      <c r="I150" s="2" t="inlineStr">
        <is>
          <t>8089879447</t>
        </is>
      </c>
      <c r="J150" s="2" t="inlineStr">
        <is>
          <t>https://itunes.apple.com/lv/reviews/id276215849</t>
        </is>
      </c>
      <c r="K150" s="2" t="n">
        <v>2</v>
      </c>
    </row>
    <row r="151">
      <c r="A151" s="2" t="inlineStr">
        <is>
          <t>Latvia</t>
        </is>
      </c>
      <c r="B151" s="2" t="inlineStr">
        <is>
          <t>lv</t>
        </is>
      </c>
      <c r="C151" s="2" t="n">
        <v>2</v>
      </c>
      <c r="D151" s="3" t="inlineStr">
        <is>
          <t>Kļūda</t>
        </is>
      </c>
      <c r="E151" s="3" t="inlineStr">
        <is>
          <t>Uz iphone 13 ios 15.1 nevar izveidot paroli, izmetās kļūda.</t>
        </is>
      </c>
      <c r="F151" s="2" t="inlineStr">
        <is>
          <t>Maucenaiks</t>
        </is>
      </c>
      <c r="G151" s="2" t="inlineStr">
        <is>
          <t>12.41</t>
        </is>
      </c>
      <c r="H151" s="2" t="inlineStr">
        <is>
          <t>2021-10-28T10:04:31-07:00</t>
        </is>
      </c>
      <c r="I151" s="2" t="inlineStr">
        <is>
          <t>7963332877</t>
        </is>
      </c>
      <c r="J151" s="2" t="inlineStr">
        <is>
          <t>https://itunes.apple.com/lv/reviews/id86935130</t>
        </is>
      </c>
      <c r="K151" s="2" t="n">
        <v>2</v>
      </c>
    </row>
    <row r="152">
      <c r="A152" s="2" t="inlineStr">
        <is>
          <t>Latvia</t>
        </is>
      </c>
      <c r="B152" s="2" t="inlineStr">
        <is>
          <t>lv</t>
        </is>
      </c>
      <c r="C152" s="2" t="n">
        <v>1</v>
      </c>
      <c r="D152" s="3" t="inlineStr">
        <is>
          <t>Сплошное расстройство</t>
        </is>
      </c>
      <c r="E152" s="3" t="inlineStr">
        <is>
          <t>MobileScan в двадцать восемнадцатый раз «забывает» меня и вынуждает переться в банк, чтобы восстановить доступ к счетам с нужными лимитами. Редкостный говноexperience. Никакие чудо-кредитки, херо карты, и х реворды не спасают. Ухожу из банка.</t>
        </is>
      </c>
      <c r="F152" s="2" t="inlineStr">
        <is>
          <t>Mihails.Galuska</t>
        </is>
      </c>
      <c r="G152" s="2" t="inlineStr">
        <is>
          <t>12.41</t>
        </is>
      </c>
      <c r="H152" s="2" t="inlineStr">
        <is>
          <t>2021-10-19T12:32:20-07:00</t>
        </is>
      </c>
      <c r="I152" s="2" t="inlineStr">
        <is>
          <t>7932287047</t>
        </is>
      </c>
      <c r="J152" s="2" t="inlineStr">
        <is>
          <t>https://itunes.apple.com/lv/reviews/id108465413</t>
        </is>
      </c>
      <c r="K152" s="2" t="n">
        <v>2</v>
      </c>
    </row>
    <row r="153">
      <c r="A153" s="2" t="inlineStr">
        <is>
          <t>Latvia</t>
        </is>
      </c>
      <c r="B153" s="2" t="inlineStr">
        <is>
          <t>lv</t>
        </is>
      </c>
      <c r="C153" s="2" t="n">
        <v>1</v>
      </c>
      <c r="D153" s="3" t="inlineStr">
        <is>
          <t>Aplikācija neatbild, nekādas reakcijas no tehniskā atbalsta.</t>
        </is>
      </c>
      <c r="E153" s="3" t="inlineStr">
        <is>
          <t>Jaunākā aplikācijas versija ar iOS 14.7.1 nestrādā. Rāda nepareizu paroli. Izdodas ielogoties tikai pēc paroles maiņas. Nākošo reizi atkal rāda nepareizu paroli. Atbalsts ieteica pārinstalēt aplikāciju (taot nestrādā). Tālāku atbalstu neviens nesniedz. Es nespēju tikt pie saviem līdzekļiem un banka IGNORĒ un pat netaisās neko darīt?</t>
        </is>
      </c>
      <c r="F153" s="2" t="inlineStr">
        <is>
          <t>katyyy1111</t>
        </is>
      </c>
      <c r="G153" s="2" t="inlineStr">
        <is>
          <t>12.41</t>
        </is>
      </c>
      <c r="H153" s="2" t="inlineStr">
        <is>
          <t>2021-10-17T09:14:36-07:00</t>
        </is>
      </c>
      <c r="I153" s="2" t="inlineStr">
        <is>
          <t>7925130489</t>
        </is>
      </c>
      <c r="J153" s="2" t="inlineStr">
        <is>
          <t>https://itunes.apple.com/lv/reviews/id1339911016</t>
        </is>
      </c>
      <c r="K153" s="2" t="n">
        <v>3</v>
      </c>
    </row>
    <row r="154">
      <c r="A154" s="2" t="inlineStr">
        <is>
          <t>Latvia</t>
        </is>
      </c>
      <c r="B154" s="2" t="inlineStr">
        <is>
          <t>lv</t>
        </is>
      </c>
      <c r="C154" s="2" t="n">
        <v>3</v>
      </c>
      <c r="D154" s="3" t="inlineStr">
        <is>
          <t>FaceID is not working anymore</t>
        </is>
      </c>
      <c r="E154" s="3" t="inlineStr">
        <is>
          <t>Needed option is enabled. Tried to toggle few times, but no luck</t>
        </is>
      </c>
      <c r="F154" s="2" t="inlineStr">
        <is>
          <t>anton.wise</t>
        </is>
      </c>
      <c r="G154" s="2" t="inlineStr">
        <is>
          <t>12.35</t>
        </is>
      </c>
      <c r="H154" s="2" t="inlineStr">
        <is>
          <t>2021-02-28T21:54:40-07:00</t>
        </is>
      </c>
      <c r="I154" s="2" t="inlineStr">
        <is>
          <t>7051530499</t>
        </is>
      </c>
      <c r="J154" s="2" t="inlineStr">
        <is>
          <t>https://itunes.apple.com/lv/reviews/id942397956</t>
        </is>
      </c>
      <c r="K154" s="2" t="n">
        <v>3</v>
      </c>
    </row>
    <row r="155">
      <c r="A155" s="2" t="inlineStr">
        <is>
          <t>Latvia</t>
        </is>
      </c>
      <c r="B155" s="2" t="inlineStr">
        <is>
          <t>lv</t>
        </is>
      </c>
      <c r="C155" s="2" t="n">
        <v>5</v>
      </c>
      <c r="D155" s="3" t="inlineStr">
        <is>
          <t>Planšete</t>
        </is>
      </c>
      <c r="E155" s="3" t="inlineStr">
        <is>
          <t>Vai aplikācija nav piemērota planšetei? IPad pro11 2020. Uz ekrāna redzu telefona izmēra aplikāciju!</t>
        </is>
      </c>
      <c r="F155" s="2" t="inlineStr">
        <is>
          <t>andaugs</t>
        </is>
      </c>
      <c r="G155" s="2" t="inlineStr">
        <is>
          <t>12.33</t>
        </is>
      </c>
      <c r="H155" s="2" t="inlineStr">
        <is>
          <t>2021-01-29T20:47:28-07:00</t>
        </is>
      </c>
      <c r="I155" s="2" t="inlineStr">
        <is>
          <t>6930832392</t>
        </is>
      </c>
      <c r="J155" s="2" t="inlineStr">
        <is>
          <t>https://itunes.apple.com/lv/reviews/id521904688</t>
        </is>
      </c>
      <c r="K155" s="2" t="n">
        <v>3</v>
      </c>
    </row>
    <row r="156">
      <c r="A156" s="2" t="inlineStr">
        <is>
          <t>Latvia</t>
        </is>
      </c>
      <c r="B156" s="2" t="inlineStr">
        <is>
          <t>lv</t>
        </is>
      </c>
      <c r="C156" s="2" t="n">
        <v>5</v>
      </c>
      <c r="D156" s="3" t="inlineStr">
        <is>
          <t>Notifikācijas nedarbojas</t>
        </is>
      </c>
      <c r="E156" s="3" t="inlineStr">
        <is>
          <t>Lietotne laba, bet ielikšu 5 zvaigznes kad beidzot salabosiet notifikācijas.</t>
        </is>
      </c>
      <c r="F156" s="2" t="inlineStr">
        <is>
          <t>Edgars Briedis</t>
        </is>
      </c>
      <c r="G156" s="2" t="inlineStr">
        <is>
          <t>12.31</t>
        </is>
      </c>
      <c r="H156" s="2" t="inlineStr">
        <is>
          <t>2020-11-08T10:37:58-07:00</t>
        </is>
      </c>
      <c r="I156" s="2" t="inlineStr">
        <is>
          <t>6623313202</t>
        </is>
      </c>
      <c r="J156" s="2" t="inlineStr">
        <is>
          <t>https://itunes.apple.com/lv/reviews/id159159681</t>
        </is>
      </c>
      <c r="K156" s="2" t="n">
        <v>3</v>
      </c>
    </row>
    <row r="157">
      <c r="A157" s="2" t="inlineStr">
        <is>
          <t>Latvia</t>
        </is>
      </c>
      <c r="B157" s="2" t="inlineStr">
        <is>
          <t>lv</t>
        </is>
      </c>
      <c r="C157" s="2" t="n">
        <v>4</v>
      </c>
      <c r="D157" s="3" t="inlineStr">
        <is>
          <t>iOS 14</t>
        </is>
      </c>
      <c r="E157" s="3" t="inlineStr">
        <is>
          <t>Pēc iOS 14 uzstādīšanas pazudis ātrais atlikums</t>
        </is>
      </c>
      <c r="F157" s="2" t="inlineStr">
        <is>
          <t>Dednikos</t>
        </is>
      </c>
      <c r="G157" s="2" t="inlineStr">
        <is>
          <t>12.30</t>
        </is>
      </c>
      <c r="H157" s="2" t="inlineStr">
        <is>
          <t>2020-09-18T08:42:58-07:00</t>
        </is>
      </c>
      <c r="I157" s="2" t="inlineStr">
        <is>
          <t>6442181792</t>
        </is>
      </c>
      <c r="J157" s="2" t="inlineStr">
        <is>
          <t>https://itunes.apple.com/lv/reviews/id643898752</t>
        </is>
      </c>
      <c r="K157" s="2" t="n">
        <v>3</v>
      </c>
    </row>
    <row r="158">
      <c r="A158" s="2" t="inlineStr">
        <is>
          <t>Latvia</t>
        </is>
      </c>
      <c r="B158" s="2" t="inlineStr">
        <is>
          <t>lv</t>
        </is>
      </c>
      <c r="C158" s="2" t="n">
        <v>3</v>
      </c>
      <c r="D158" s="3" t="inlineStr">
        <is>
          <t>No Notifications</t>
        </is>
      </c>
      <c r="E158" s="3" t="inlineStr">
        <is>
          <t>Push notifications for mobile scan, outgoing and incoming payments are no longer working. I even tried turning everything off and on again, but still no notifications.
Edit: Reinstalling the app fixed the issue, however this should not have happenned. Keep better track of your user's data!</t>
        </is>
      </c>
      <c r="F158" s="2" t="inlineStr">
        <is>
          <t>eggnukes</t>
        </is>
      </c>
      <c r="G158" s="2" t="inlineStr">
        <is>
          <t>12.29</t>
        </is>
      </c>
      <c r="H158" s="2" t="inlineStr">
        <is>
          <t>2020-08-01T00:04:33-07:00</t>
        </is>
      </c>
      <c r="I158" s="2" t="inlineStr">
        <is>
          <t>6266226297</t>
        </is>
      </c>
      <c r="J158" s="2" t="inlineStr">
        <is>
          <t>https://itunes.apple.com/lv/reviews/id593787385</t>
        </is>
      </c>
      <c r="K158" s="2" t="n">
        <v>3</v>
      </c>
    </row>
    <row r="159">
      <c r="A159" s="2" t="inlineStr">
        <is>
          <t>Latvia</t>
        </is>
      </c>
      <c r="B159" s="2" t="inlineStr">
        <is>
          <t>lv</t>
        </is>
      </c>
      <c r="C159" s="2" t="n">
        <v>3</v>
      </c>
      <c r="D159" s="3" t="inlineStr">
        <is>
          <t>Constant crashes</t>
        </is>
      </c>
      <c r="E159" s="3" t="inlineStr">
        <is>
          <t>Updated to the latest version. Now my banking experience is close to something that happened during pre-Internet era. Everything is slow and constantly crashes.</t>
        </is>
      </c>
      <c r="F159" s="2" t="inlineStr">
        <is>
          <t>Jurriss</t>
        </is>
      </c>
      <c r="G159" s="2" t="inlineStr">
        <is>
          <t>12.27</t>
        </is>
      </c>
      <c r="H159" s="2" t="inlineStr">
        <is>
          <t>2020-07-21T10:28:18-07:00</t>
        </is>
      </c>
      <c r="I159" s="2" t="inlineStr">
        <is>
          <t>6224821081</t>
        </is>
      </c>
      <c r="J159" s="2" t="inlineStr">
        <is>
          <t>https://itunes.apple.com/lv/reviews/id508109784</t>
        </is>
      </c>
      <c r="K159" s="2" t="n">
        <v>3</v>
      </c>
    </row>
    <row r="160">
      <c r="A160" s="2" t="inlineStr">
        <is>
          <t>Latvia</t>
        </is>
      </c>
      <c r="B160" s="2" t="inlineStr">
        <is>
          <t>lv</t>
        </is>
      </c>
      <c r="C160" s="2" t="n">
        <v>3</v>
      </c>
      <c r="D160" s="3" t="inlineStr">
        <is>
          <t>Atlikums</t>
        </is>
      </c>
      <c r="E160" s="3" t="inlineStr">
        <is>
          <t>Šķiet, ka pēc pēdējā app Update vairs nestrādā ātrā atlikuma opcija. iPhone 7 plus. OS pēdējā versija</t>
        </is>
      </c>
      <c r="F160" s="2" t="inlineStr">
        <is>
          <t>uldka</t>
        </is>
      </c>
      <c r="G160" s="2" t="inlineStr">
        <is>
          <t>12.27</t>
        </is>
      </c>
      <c r="H160" s="2" t="inlineStr">
        <is>
          <t>2020-07-14T03:58:48-07:00</t>
        </is>
      </c>
      <c r="I160" s="2" t="inlineStr">
        <is>
          <t>6196380957</t>
        </is>
      </c>
      <c r="J160" s="2" t="inlineStr">
        <is>
          <t>https://itunes.apple.com/lv/reviews/id631406582</t>
        </is>
      </c>
      <c r="K160" s="2" t="n">
        <v>3</v>
      </c>
    </row>
    <row r="161">
      <c r="A161" s="2" t="inlineStr">
        <is>
          <t>Latvia</t>
        </is>
      </c>
      <c r="B161" s="2" t="inlineStr">
        <is>
          <t>lv</t>
        </is>
      </c>
      <c r="C161" s="2" t="n">
        <v>4</v>
      </c>
      <c r="D161" s="3" t="inlineStr">
        <is>
          <t>Nepienāk SMS</t>
        </is>
      </c>
      <c r="E161" s="3" t="inlineStr">
        <is>
          <t>Vairs nepienāk SMS priekš mobilscan, pie iestatījumiem arī nav funkcijas lai atļautu SMS saņemšanu. iPhone xr</t>
        </is>
      </c>
      <c r="F161" s="2" t="inlineStr">
        <is>
          <t>jrobb85</t>
        </is>
      </c>
      <c r="G161" s="2" t="inlineStr">
        <is>
          <t>12.23</t>
        </is>
      </c>
      <c r="H161" s="2" t="inlineStr">
        <is>
          <t>2020-03-28T07:13:00-07:00</t>
        </is>
      </c>
      <c r="I161" s="2" t="inlineStr">
        <is>
          <t>5726249171</t>
        </is>
      </c>
      <c r="J161" s="2" t="inlineStr">
        <is>
          <t>https://itunes.apple.com/lv/reviews/id450871962</t>
        </is>
      </c>
      <c r="K161" s="2" t="n">
        <v>3</v>
      </c>
    </row>
    <row r="162">
      <c r="A162" s="2" t="inlineStr">
        <is>
          <t>Latvia</t>
        </is>
      </c>
      <c r="B162" s="2" t="inlineStr">
        <is>
          <t>lv</t>
        </is>
      </c>
      <c r="C162" s="2" t="n">
        <v>5</v>
      </c>
      <c r="D162" s="3" t="inlineStr">
        <is>
          <t>Top-1 in LV</t>
        </is>
      </c>
      <c r="E162" s="3" t="inlineStr">
        <is>
          <t>Used banking apps in numerous countries - by far one of the best banking apps and top-1 in Latvia</t>
        </is>
      </c>
      <c r="F162" s="2" t="inlineStr">
        <is>
          <t>RichaStick</t>
        </is>
      </c>
      <c r="G162" s="2" t="inlineStr">
        <is>
          <t>12.23</t>
        </is>
      </c>
      <c r="H162" s="2" t="inlineStr">
        <is>
          <t>2020-03-22T01:19:42-07:00</t>
        </is>
      </c>
      <c r="I162" s="2" t="inlineStr">
        <is>
          <t>5695509155</t>
        </is>
      </c>
      <c r="J162" s="2" t="inlineStr">
        <is>
          <t>https://itunes.apple.com/lv/reviews/id632218428</t>
        </is>
      </c>
      <c r="K162" s="2" t="n">
        <v>3</v>
      </c>
    </row>
    <row r="163">
      <c r="A163" s="2" t="inlineStr">
        <is>
          <t>Latvia</t>
        </is>
      </c>
      <c r="B163" s="2" t="inlineStr">
        <is>
          <t>lv</t>
        </is>
      </c>
      <c r="C163" s="2" t="n">
        <v>5</v>
      </c>
      <c r="D163" s="3" t="inlineStr">
        <is>
          <t>Не открыть счёт с приложения</t>
        </is>
      </c>
      <c r="E163" s="3" t="inlineStr">
        <is>
          <t>Открытие счёта в банке с помощью приложения вообще не работает. Зачем нужна функция, которая не допилена, во всяком случае на iphone?</t>
        </is>
      </c>
      <c r="F163" s="2" t="inlineStr">
        <is>
          <t>Edimaks</t>
        </is>
      </c>
      <c r="G163" s="2" t="inlineStr">
        <is>
          <t>12.23</t>
        </is>
      </c>
      <c r="H163" s="2" t="inlineStr">
        <is>
          <t>2020-03-19T11:06:32-07:00</t>
        </is>
      </c>
      <c r="I163" s="2" t="inlineStr">
        <is>
          <t>5683196586</t>
        </is>
      </c>
      <c r="J163" s="2" t="inlineStr">
        <is>
          <t>https://itunes.apple.com/lv/reviews/id275598331</t>
        </is>
      </c>
      <c r="K163" s="2" t="n">
        <v>3</v>
      </c>
    </row>
    <row r="164">
      <c r="A164" s="2" t="inlineStr">
        <is>
          <t>Latvia</t>
        </is>
      </c>
      <c r="B164" s="2" t="inlineStr">
        <is>
          <t>lv</t>
        </is>
      </c>
      <c r="C164" s="2" t="n">
        <v>5</v>
      </c>
      <c r="D164" s="3" t="inlineStr">
        <is>
          <t>9/10</t>
        </is>
      </c>
      <c r="E164" s="3" t="inlineStr">
        <is>
          <t>Очень крутой банк. Было бы идеально, если можно было бы делать запрос средств у других пользователей, как это сделано в Swedbank. А так все очень нравится.</t>
        </is>
      </c>
      <c r="F164" s="2" t="inlineStr">
        <is>
          <t>bsmayuki</t>
        </is>
      </c>
      <c r="G164" s="2" t="inlineStr">
        <is>
          <t>12.23</t>
        </is>
      </c>
      <c r="H164" s="2" t="inlineStr">
        <is>
          <t>2020-03-11T11:38:35-07:00</t>
        </is>
      </c>
      <c r="I164" s="2" t="inlineStr">
        <is>
          <t>5646994334</t>
        </is>
      </c>
      <c r="J164" s="2" t="inlineStr">
        <is>
          <t>https://itunes.apple.com/lv/reviews/id982675283</t>
        </is>
      </c>
      <c r="K164" s="2" t="n">
        <v>3</v>
      </c>
    </row>
    <row r="165">
      <c r="A165" s="2" t="inlineStr">
        <is>
          <t>Latvia</t>
        </is>
      </c>
      <c r="B165" s="2" t="inlineStr">
        <is>
          <t>lv</t>
        </is>
      </c>
      <c r="C165" s="2" t="n">
        <v>3</v>
      </c>
      <c r="D165" s="3" t="inlineStr">
        <is>
          <t>Not great, not terrible</t>
        </is>
      </c>
      <c r="E165" s="3" t="inlineStr">
        <is>
          <t>Все очень красиво и летает вообще, но последняя версия на iPhone XR вообще не работает ничего, что связано с камерой - сначала хотела заказать карту через верификацию через приложение, камера вечно вылетала. Ок, пошла в филиал, где прождала 1,5 часа, чтоб заказать карту. 
Там начался маразм с подключением mobile scan, который так же на моем телефоне не пошёл. В общем, карта - красота, бонусы прикольные, задумка класс, но баги и потеря 1,5 часов в филиале (очередь 5 человек была)) - просто выбесили в край</t>
        </is>
      </c>
      <c r="F165" s="2" t="inlineStr">
        <is>
          <t>nicole.an.moroz</t>
        </is>
      </c>
      <c r="G165" s="2" t="inlineStr">
        <is>
          <t>12.21</t>
        </is>
      </c>
      <c r="H165" s="2" t="inlineStr">
        <is>
          <t>2020-01-04T00:50:14-07:00</t>
        </is>
      </c>
      <c r="I165" s="2" t="inlineStr">
        <is>
          <t>5358957913</t>
        </is>
      </c>
      <c r="J165" s="2" t="inlineStr">
        <is>
          <t>https://itunes.apple.com/lv/reviews/id882642375</t>
        </is>
      </c>
      <c r="K165" s="2" t="n">
        <v>3</v>
      </c>
    </row>
    <row r="166">
      <c r="A166" s="2" t="inlineStr">
        <is>
          <t>Latvia</t>
        </is>
      </c>
      <c r="B166" s="2" t="inlineStr">
        <is>
          <t>lv</t>
        </is>
      </c>
      <c r="C166" s="2" t="n">
        <v>5</v>
      </c>
      <c r="D166" s="3" t="inlineStr">
        <is>
          <t>Apple Pay?</t>
        </is>
      </c>
      <c r="E166" s="3" t="inlineStr">
        <is>
          <t>Viss patīk! Bet kad parādīsies Apple Pay?</t>
        </is>
      </c>
      <c r="F166" s="2" t="inlineStr">
        <is>
          <t>Alalambda</t>
        </is>
      </c>
      <c r="G166" s="2" t="inlineStr">
        <is>
          <t>12.16</t>
        </is>
      </c>
      <c r="H166" s="2" t="inlineStr">
        <is>
          <t>2019-07-04T12:41:56-07:00</t>
        </is>
      </c>
      <c r="I166" s="2" t="inlineStr">
        <is>
          <t>4410970407</t>
        </is>
      </c>
      <c r="J166" s="2" t="inlineStr">
        <is>
          <t>https://itunes.apple.com/lv/reviews/id573554755</t>
        </is>
      </c>
      <c r="K166" s="2" t="n">
        <v>3</v>
      </c>
    </row>
    <row r="167">
      <c r="A167" s="2" t="inlineStr">
        <is>
          <t>Latvia</t>
        </is>
      </c>
      <c r="B167" s="2" t="inlineStr">
        <is>
          <t>lv</t>
        </is>
      </c>
      <c r="C167" s="2" t="n">
        <v>4</v>
      </c>
      <c r="D167" s="3" t="inlineStr">
        <is>
          <t>Aplikācijas paziņojumi</t>
        </is>
      </c>
      <c r="E167" s="3" t="inlineStr">
        <is>
          <t>Viss ir labi, izņemot, ka no aplikàcijas nenāk paziņojumi par ienākošajiem darījumiem. Par izejošiem un kartes maksājumiem nāk paziņojumi.</t>
        </is>
      </c>
      <c r="F167" s="2" t="inlineStr">
        <is>
          <t>Anne Bosix</t>
        </is>
      </c>
      <c r="G167" s="2" t="inlineStr">
        <is>
          <t>12.14</t>
        </is>
      </c>
      <c r="H167" s="2" t="inlineStr">
        <is>
          <t>2019-06-09T01:56:56-07:00</t>
        </is>
      </c>
      <c r="I167" s="2" t="inlineStr">
        <is>
          <t>4288163184</t>
        </is>
      </c>
      <c r="J167" s="2" t="inlineStr">
        <is>
          <t>https://itunes.apple.com/lv/reviews/id544683864</t>
        </is>
      </c>
      <c r="K167" s="2" t="n">
        <v>3</v>
      </c>
    </row>
    <row r="168">
      <c r="A168" s="2" t="inlineStr">
        <is>
          <t>Latvia</t>
        </is>
      </c>
      <c r="B168" s="2" t="inlineStr">
        <is>
          <t>lv</t>
        </is>
      </c>
      <c r="C168" s="2" t="n">
        <v>5</v>
      </c>
      <c r="D168" s="3" t="inlineStr">
        <is>
          <t>Eugene</t>
        </is>
      </c>
      <c r="E168" s="3" t="inlineStr">
        <is>
          <t>Loti laba aplikacija</t>
        </is>
      </c>
      <c r="F168" s="2" t="inlineStr">
        <is>
          <t>jevgis2005</t>
        </is>
      </c>
      <c r="G168" s="2" t="inlineStr">
        <is>
          <t>12.14</t>
        </is>
      </c>
      <c r="H168" s="2" t="inlineStr">
        <is>
          <t>2019-05-05T15:23:45-07:00</t>
        </is>
      </c>
      <c r="I168" s="2" t="inlineStr">
        <is>
          <t>4106376133</t>
        </is>
      </c>
      <c r="J168" s="2" t="inlineStr">
        <is>
          <t>https://itunes.apple.com/lv/reviews/id605202035</t>
        </is>
      </c>
      <c r="K168" s="2" t="n">
        <v>3</v>
      </c>
    </row>
    <row r="169">
      <c r="A169" s="2" t="inlineStr">
        <is>
          <t>Latvia</t>
        </is>
      </c>
      <c r="B169" s="2" t="inlineStr">
        <is>
          <t>lv</t>
        </is>
      </c>
      <c r="C169" s="2" t="n">
        <v>5</v>
      </c>
      <c r="D169" s="3" t="inlineStr">
        <is>
          <t>Apple pay</t>
        </is>
      </c>
      <c r="E169" s="3" t="inlineStr">
        <is>
          <t>Все в приложении утраивает и работает хорошо, только одно НО: когда в iOS версии приложения добавите функцию «оплата телефоном», как на андроид?</t>
        </is>
      </c>
      <c r="F169" s="2" t="inlineStr">
        <is>
          <t>matrenababayan</t>
        </is>
      </c>
      <c r="G169" s="2" t="inlineStr">
        <is>
          <t>12.14</t>
        </is>
      </c>
      <c r="H169" s="2" t="inlineStr">
        <is>
          <t>2019-04-20T11:21:28-07:00</t>
        </is>
      </c>
      <c r="I169" s="2" t="inlineStr">
        <is>
          <t>4038414103</t>
        </is>
      </c>
      <c r="J169" s="2" t="inlineStr">
        <is>
          <t>https://itunes.apple.com/lv/reviews/id571383579</t>
        </is>
      </c>
      <c r="K169" s="2" t="n">
        <v>3</v>
      </c>
    </row>
    <row r="170">
      <c r="A170" s="2" t="inlineStr">
        <is>
          <t>Latvia</t>
        </is>
      </c>
      <c r="B170" s="2" t="inlineStr">
        <is>
          <t>lv</t>
        </is>
      </c>
      <c r="C170" s="2" t="n">
        <v>5</v>
      </c>
      <c r="D170" s="3" t="inlineStr">
        <is>
          <t>Fintech bank</t>
        </is>
      </c>
      <c r="E170" s="3" t="inlineStr">
        <is>
          <t>After the last update a bank app become my favourite banking app and even better then Revolute which for me was replaced by Citadele. Bank has a great transformation to become a main bank for me and my family! Congrats and good luck!</t>
        </is>
      </c>
      <c r="F170" s="2" t="inlineStr">
        <is>
          <t>markomalta</t>
        </is>
      </c>
      <c r="G170" s="2" t="inlineStr">
        <is>
          <t>12.14</t>
        </is>
      </c>
      <c r="H170" s="2" t="inlineStr">
        <is>
          <t>2019-04-07T02:56:40-07:00</t>
        </is>
      </c>
      <c r="I170" s="2" t="inlineStr">
        <is>
          <t>3981495459</t>
        </is>
      </c>
      <c r="J170" s="2" t="inlineStr">
        <is>
          <t>https://itunes.apple.com/lv/reviews/id563483440</t>
        </is>
      </c>
      <c r="K170" s="2" t="n">
        <v>3</v>
      </c>
    </row>
    <row r="171">
      <c r="A171" s="2" t="inlineStr">
        <is>
          <t>Latvia</t>
        </is>
      </c>
      <c r="B171" s="2" t="inlineStr">
        <is>
          <t>lv</t>
        </is>
      </c>
      <c r="C171" s="2" t="n">
        <v>3</v>
      </c>
      <c r="D171" s="3" t="inlineStr">
        <is>
          <t>Необходимо улучшение</t>
        </is>
      </c>
      <c r="E171" s="3" t="inlineStr">
        <is>
          <t>Приложение очень удобное и хорошее. Только не всегда работает. Периодически невозможно войти, не даёт возможности ввести логин и пароль.</t>
        </is>
      </c>
      <c r="F171" s="2" t="inlineStr">
        <is>
          <t>АлВерб</t>
        </is>
      </c>
      <c r="G171" s="2" t="inlineStr">
        <is>
          <t>12.13</t>
        </is>
      </c>
      <c r="H171" s="2" t="inlineStr">
        <is>
          <t>2019-03-12T00:19:48-07:00</t>
        </is>
      </c>
      <c r="I171" s="2" t="inlineStr">
        <is>
          <t>3872074938</t>
        </is>
      </c>
      <c r="J171" s="2" t="inlineStr">
        <is>
          <t>https://itunes.apple.com/lv/reviews/id736046138</t>
        </is>
      </c>
      <c r="K171" s="2" t="n">
        <v>3</v>
      </c>
    </row>
    <row r="172">
      <c r="A172" s="2" t="inlineStr">
        <is>
          <t>Latvia</t>
        </is>
      </c>
      <c r="B172" s="2" t="inlineStr">
        <is>
          <t>lv</t>
        </is>
      </c>
      <c r="C172" s="2" t="n">
        <v>5</v>
      </c>
      <c r="D172" s="3" t="inlineStr">
        <is>
          <t>Lieliska aplikācija</t>
        </is>
      </c>
      <c r="E172" s="3" t="inlineStr">
        <is>
          <t>Noderīgas notifikācijas par kontā veiktajiem darījumiem. Vēl gribētos iespēju saņemt notifikāciju arī, piemēram, par konta atlikumu, kurš zemāks par lietotāja noteiktu summu.</t>
        </is>
      </c>
      <c r="F172" s="2" t="inlineStr">
        <is>
          <t>Oskars_M</t>
        </is>
      </c>
      <c r="G172" s="2" t="inlineStr">
        <is>
          <t>12.12</t>
        </is>
      </c>
      <c r="H172" s="2" t="inlineStr">
        <is>
          <t>2019-02-16T08:51:51-07:00</t>
        </is>
      </c>
      <c r="I172" s="2" t="inlineStr">
        <is>
          <t>3777232492</t>
        </is>
      </c>
      <c r="J172" s="2" t="inlineStr">
        <is>
          <t>https://itunes.apple.com/lv/reviews/id158131382</t>
        </is>
      </c>
      <c r="K172" s="2" t="n">
        <v>3</v>
      </c>
    </row>
    <row r="173">
      <c r="A173" s="2" t="inlineStr">
        <is>
          <t>Latvia</t>
        </is>
      </c>
      <c r="B173" s="2" t="inlineStr">
        <is>
          <t>lv</t>
        </is>
      </c>
      <c r="C173" s="2" t="n">
        <v>5</v>
      </c>
      <c r="D173" s="3" t="inlineStr">
        <is>
          <t>Great App</t>
        </is>
      </c>
      <c r="E173" s="3" t="inlineStr">
        <is>
          <t>Great user interface and easy to use better than other banks</t>
        </is>
      </c>
      <c r="F173" s="2" t="inlineStr">
        <is>
          <t>Dreamchaser56</t>
        </is>
      </c>
      <c r="G173" s="2" t="inlineStr">
        <is>
          <t>12.12</t>
        </is>
      </c>
      <c r="H173" s="2" t="inlineStr">
        <is>
          <t>2019-02-01T14:35:12-07:00</t>
        </is>
      </c>
      <c r="I173" s="2" t="inlineStr">
        <is>
          <t>3721870028</t>
        </is>
      </c>
      <c r="J173" s="2" t="inlineStr">
        <is>
          <t>https://itunes.apple.com/lv/reviews/id649185568</t>
        </is>
      </c>
      <c r="K173" s="2" t="n">
        <v>3</v>
      </c>
    </row>
    <row r="174">
      <c r="A174" s="2" t="inlineStr">
        <is>
          <t>Latvia</t>
        </is>
      </c>
      <c r="B174" s="2" t="inlineStr">
        <is>
          <t>lv</t>
        </is>
      </c>
      <c r="C174" s="2" t="n">
        <v>3</v>
      </c>
      <c r="D174" s="3" t="inlineStr">
        <is>
          <t>🙁 3D touch atlikums</t>
        </is>
      </c>
      <c r="E174" s="3" t="inlineStr">
        <is>
          <t>Līdz šim aplikācija ļoti patika. Pēc jaunā update absolūti nepatīk tas, ka lietojot 3D touch uz iPhone, lai apskatītu atlikumu, parādās divas summas un īstā no tām, kas ir pieejama, parādās, kā otrā maziem cipariem. Tas ir ļoti neērti, iepriekš rādījās tikai viena summa, tā, kura patiešām ir pieejama. Bija viegli un ērti pārskatāma. Vēlos, lai šis tiktu labots. Pārējais aplikācijā ir ērti un pārdomāti.</t>
        </is>
      </c>
      <c r="F174" s="2" t="inlineStr">
        <is>
          <t>Apolons Magiskais</t>
        </is>
      </c>
      <c r="G174" s="2" t="inlineStr">
        <is>
          <t>12.11</t>
        </is>
      </c>
      <c r="H174" s="2" t="inlineStr">
        <is>
          <t>2019-01-04T12:17:42-07:00</t>
        </is>
      </c>
      <c r="I174" s="2" t="inlineStr">
        <is>
          <t>3612357272</t>
        </is>
      </c>
      <c r="J174" s="2" t="inlineStr">
        <is>
          <t>https://itunes.apple.com/lv/reviews/id270878082</t>
        </is>
      </c>
      <c r="K174" s="2" t="n">
        <v>3</v>
      </c>
    </row>
    <row r="175">
      <c r="A175" s="2" t="inlineStr">
        <is>
          <t>Latvia</t>
        </is>
      </c>
      <c r="B175" s="2" t="inlineStr">
        <is>
          <t>lv</t>
        </is>
      </c>
      <c r="C175" s="2" t="n">
        <v>5</v>
      </c>
      <c r="D175" s="3" t="inlineStr">
        <is>
          <t>Nestrādā apmaksa caur svītrukodu skenēšanu</t>
        </is>
      </c>
      <c r="E175" s="3" t="inlineStr">
        <is>
          <t>Labdien, gribēju apmaksāt rēķinu ar kameru, bet pamēģināju un rada ka svītru kodi nav atrasti un kamera “salauzijas”. Paņemu otro iPhone , atjaunināju līdz 12.10 versijai un tāds pats. Lūgums salabojiet to.</t>
        </is>
      </c>
      <c r="F175" s="2" t="inlineStr">
        <is>
          <t>LV1137</t>
        </is>
      </c>
      <c r="G175" s="2" t="inlineStr">
        <is>
          <t>12.10</t>
        </is>
      </c>
      <c r="H175" s="2" t="inlineStr">
        <is>
          <t>2018-12-12T09:02:26-07:00</t>
        </is>
      </c>
      <c r="I175" s="2" t="inlineStr">
        <is>
          <t>3523219697</t>
        </is>
      </c>
      <c r="J175" s="2" t="inlineStr">
        <is>
          <t>https://itunes.apple.com/lv/reviews/id637514913</t>
        </is>
      </c>
      <c r="K175" s="2" t="n">
        <v>3</v>
      </c>
    </row>
    <row r="176">
      <c r="A176" s="2" t="inlineStr">
        <is>
          <t>Latvia</t>
        </is>
      </c>
      <c r="B176" s="2" t="inlineStr">
        <is>
          <t>lv</t>
        </is>
      </c>
      <c r="C176" s="2" t="n">
        <v>3</v>
      </c>
      <c r="D176" s="3" t="inlineStr">
        <is>
          <t>Вопрос</t>
        </is>
      </c>
      <c r="E176" s="3" t="inlineStr">
        <is>
          <t>С недавнего времени в строчке сумма к оплате не могу поставить запятую или точку между цифрами. Только если сначала 0. Например, мне надо перечислить 75 центов, тогда я могу написать 0.75, а вот если 1 евро и 75 центов, получается 175, т.к. после 1 не ставится точка. Что это вдруг?</t>
        </is>
      </c>
      <c r="F176" s="2" t="inlineStr">
        <is>
          <t>oxiol</t>
        </is>
      </c>
      <c r="G176" s="2" t="inlineStr">
        <is>
          <t>12.9</t>
        </is>
      </c>
      <c r="H176" s="2" t="inlineStr">
        <is>
          <t>2018-10-25T14:17:03-07:00</t>
        </is>
      </c>
      <c r="I176" s="2" t="inlineStr">
        <is>
          <t>3343414722</t>
        </is>
      </c>
      <c r="J176" s="2" t="inlineStr">
        <is>
          <t>https://itunes.apple.com/lv/reviews/id629199035</t>
        </is>
      </c>
      <c r="K176" s="2" t="n">
        <v>3</v>
      </c>
    </row>
    <row r="177">
      <c r="A177" s="2" t="inlineStr">
        <is>
          <t>Latvia</t>
        </is>
      </c>
      <c r="B177" s="2" t="inlineStr">
        <is>
          <t>lv</t>
        </is>
      </c>
      <c r="C177" s="2" t="n">
        <v>2</v>
      </c>
      <c r="D177" s="3" t="inlineStr">
        <is>
          <t>Pirktu nospiedums</t>
        </is>
      </c>
      <c r="E177" s="3" t="inlineStr">
        <is>
          <t>Nestrādā pirkstu nospiedumu funkcija uz iphone 8plus un atrais atlikums arī visu laiku met arā un prasa no jauna autorizēties</t>
        </is>
      </c>
      <c r="F177" s="2" t="inlineStr">
        <is>
          <t>Kate281</t>
        </is>
      </c>
      <c r="G177" s="2" t="inlineStr">
        <is>
          <t>12.9</t>
        </is>
      </c>
      <c r="H177" s="2" t="inlineStr">
        <is>
          <t>2018-10-23T06:08:02-07:00</t>
        </is>
      </c>
      <c r="I177" s="2" t="inlineStr">
        <is>
          <t>3334564495</t>
        </is>
      </c>
      <c r="J177" s="2" t="inlineStr">
        <is>
          <t>https://itunes.apple.com/lv/reviews/id856240720</t>
        </is>
      </c>
      <c r="K177" s="2" t="n">
        <v>3</v>
      </c>
    </row>
    <row r="178">
      <c r="A178" s="2" t="inlineStr">
        <is>
          <t>Latvia</t>
        </is>
      </c>
      <c r="B178" s="2" t="inlineStr">
        <is>
          <t>lv</t>
        </is>
      </c>
      <c r="C178" s="2" t="n">
        <v>4</v>
      </c>
      <c r="D178" s="3" t="inlineStr">
        <is>
          <t>Laba iBanka</t>
        </is>
      </c>
      <c r="E178" s="3" t="inlineStr">
        <is>
          <t>Kopumā — lieliska aplikācija!
Tomēr, personīgi, atklāšanas animācija ir kaitinoša un nedaudz par garu.
Paziņojumi par jauniem ziņojumiem, t.i., mazais sarkanais punkts augšējā kreisajā stūrī, ir grūti pamanāmi. Es izmantoju aplikāciju vairākas reizes šajā mēnesī, bet pamanīju paziņojumu par jaunu ziņojumu, pusi mēnesi kopš tā ierašanās.</t>
        </is>
      </c>
      <c r="F178" s="2" t="inlineStr">
        <is>
          <t>Ervins Strauhmanis</t>
        </is>
      </c>
      <c r="G178" s="2" t="inlineStr">
        <is>
          <t>12.8</t>
        </is>
      </c>
      <c r="H178" s="2" t="inlineStr">
        <is>
          <t>2018-10-17T22:53:52-07:00</t>
        </is>
      </c>
      <c r="I178" s="2" t="inlineStr">
        <is>
          <t>3314594358</t>
        </is>
      </c>
      <c r="J178" s="2" t="inlineStr">
        <is>
          <t>https://itunes.apple.com/lv/reviews/id213491600</t>
        </is>
      </c>
      <c r="K178" s="2" t="n">
        <v>3</v>
      </c>
    </row>
    <row r="179">
      <c r="A179" s="2" t="inlineStr">
        <is>
          <t>Latvia</t>
        </is>
      </c>
      <c r="B179" s="2" t="inlineStr">
        <is>
          <t>lv</t>
        </is>
      </c>
      <c r="C179" s="2" t="n">
        <v>3</v>
      </c>
      <c r="D179" s="3" t="inlineStr">
        <is>
          <t>Удалил новую версию</t>
        </is>
      </c>
      <c r="E179" s="3" t="inlineStr">
        <is>
          <t>Разработчики забыли, что еще существуют люди с айфонами 5S и SE. После редизайна в новой версии все такое маленькое! Клавиатура для ввода PIN-кода теперь высотой в пол-экрана, по кнопкам еле попадаю, а раньше было на весь экран. И еще я хочу, чтобы мне перестало предлагать создать «код для быстрого входа» в интернет-банк, я не хочу, это небезопасно!
В общем, буду сидеть на предыдущей версии, пока её не отключат</t>
        </is>
      </c>
      <c r="F179" s="2" t="inlineStr">
        <is>
          <t>Fromlvbutliveuk</t>
        </is>
      </c>
      <c r="G179" s="2" t="inlineStr">
        <is>
          <t>12.8</t>
        </is>
      </c>
      <c r="H179" s="2" t="inlineStr">
        <is>
          <t>2018-08-31T00:15:05-07:00</t>
        </is>
      </c>
      <c r="I179" s="2" t="inlineStr">
        <is>
          <t>3135944159</t>
        </is>
      </c>
      <c r="J179" s="2" t="inlineStr">
        <is>
          <t>https://itunes.apple.com/lv/reviews/id210964260</t>
        </is>
      </c>
      <c r="K179" s="2" t="n">
        <v>3</v>
      </c>
    </row>
    <row r="180">
      <c r="A180" s="2" t="inlineStr">
        <is>
          <t>Latvia</t>
        </is>
      </c>
      <c r="B180" s="2" t="inlineStr">
        <is>
          <t>lv</t>
        </is>
      </c>
      <c r="C180" s="2" t="n">
        <v>1</v>
      </c>
      <c r="D180" s="3" t="inlineStr">
        <is>
          <t>Slikti</t>
        </is>
      </c>
      <c r="E180" s="3" t="inlineStr">
        <is>
          <t>Kad varēs pieslēgties gan privātam, gan uzņēmuma kontam??</t>
        </is>
      </c>
      <c r="F180" s="2" t="inlineStr">
        <is>
          <t>MartinsMartinš</t>
        </is>
      </c>
      <c r="G180" s="2" t="inlineStr">
        <is>
          <t>12.7</t>
        </is>
      </c>
      <c r="H180" s="2" t="inlineStr">
        <is>
          <t>2018-07-27T12:28:58-07:00</t>
        </is>
      </c>
      <c r="I180" s="2" t="inlineStr">
        <is>
          <t>2979042093</t>
        </is>
      </c>
      <c r="J180" s="2" t="inlineStr">
        <is>
          <t>https://itunes.apple.com/lv/reviews/id530429577</t>
        </is>
      </c>
      <c r="K180" s="2" t="n">
        <v>3</v>
      </c>
    </row>
    <row r="181">
      <c r="A181" s="2" t="inlineStr">
        <is>
          <t>Latvia</t>
        </is>
      </c>
      <c r="B181" s="2" t="inlineStr">
        <is>
          <t>lv</t>
        </is>
      </c>
      <c r="C181" s="2" t="n">
        <v>3</v>
      </c>
      <c r="D181" s="3" t="inlineStr">
        <is>
          <t>Пинкод</t>
        </is>
      </c>
      <c r="E181" s="3" t="inlineStr">
        <is>
          <t>Обновление возможно и хорошее. Но теперь не зайти и платёж не подтвердить - пинкод был 4 цифры а теперь спрашивает пять.</t>
        </is>
      </c>
      <c r="F181" s="2" t="inlineStr">
        <is>
          <t>Daarh</t>
        </is>
      </c>
      <c r="G181" s="2" t="inlineStr">
        <is>
          <t>12.6</t>
        </is>
      </c>
      <c r="H181" s="2" t="inlineStr">
        <is>
          <t>2018-07-17T12:14:08-07:00</t>
        </is>
      </c>
      <c r="I181" s="2" t="inlineStr">
        <is>
          <t>2925229088</t>
        </is>
      </c>
      <c r="J181" s="2" t="inlineStr">
        <is>
          <t>https://itunes.apple.com/lv/reviews/id107165992</t>
        </is>
      </c>
      <c r="K181" s="2" t="n">
        <v>3</v>
      </c>
    </row>
    <row r="182">
      <c r="A182" s="2" t="inlineStr">
        <is>
          <t>Latvia</t>
        </is>
      </c>
      <c r="B182" s="2" t="inlineStr">
        <is>
          <t>lv</t>
        </is>
      </c>
      <c r="C182" s="2" t="n">
        <v>5</v>
      </c>
      <c r="D182" s="3" t="inlineStr">
        <is>
          <t>Системная ошибка</t>
        </is>
      </c>
      <c r="E182" s="3" t="inlineStr">
        <is>
          <t>Обновление приложения выглядит отлично, но зайти в интернет-банк не получается. После ввода всех данных появляется сообщение «системная ошибка» и так уже несколько дней. Постоянно пользуюсь интернет-банком, приходится заходить через браузер.
UPD служба поддержки быстро отреагировала и выпустила обновление. Двойной респект!</t>
        </is>
      </c>
      <c r="F182" s="2" t="inlineStr">
        <is>
          <t>Daria_grig</t>
        </is>
      </c>
      <c r="G182" s="2" t="inlineStr">
        <is>
          <t>12.6</t>
        </is>
      </c>
      <c r="H182" s="2" t="inlineStr">
        <is>
          <t>2018-07-13T10:21:01-07:00</t>
        </is>
      </c>
      <c r="I182" s="2" t="inlineStr">
        <is>
          <t>2901274096</t>
        </is>
      </c>
      <c r="J182" s="2" t="inlineStr">
        <is>
          <t>https://itunes.apple.com/lv/reviews/id139936593</t>
        </is>
      </c>
      <c r="K182" s="2" t="n">
        <v>3</v>
      </c>
    </row>
    <row r="183">
      <c r="A183" s="2" t="inlineStr">
        <is>
          <t>Latvia</t>
        </is>
      </c>
      <c r="B183" s="2" t="inlineStr">
        <is>
          <t>lv</t>
        </is>
      </c>
      <c r="C183" s="2" t="n">
        <v>5</v>
      </c>
      <c r="D183" s="3" t="inlineStr">
        <is>
          <t>Izcili</t>
        </is>
      </c>
      <c r="E183" s="3" t="inlineStr">
        <is>
          <t>Izcila jaunā versija - TouchID/FaceID, ērti lietot, ļoti ātra, viss perfekti</t>
        </is>
      </c>
      <c r="F183" s="2" t="inlineStr">
        <is>
          <t>maxisfromea</t>
        </is>
      </c>
      <c r="G183" s="2" t="inlineStr">
        <is>
          <t>12.5</t>
        </is>
      </c>
      <c r="H183" s="2" t="inlineStr">
        <is>
          <t>2018-06-20T01:51:21-07:00</t>
        </is>
      </c>
      <c r="I183" s="2" t="inlineStr">
        <is>
          <t>2730077901</t>
        </is>
      </c>
      <c r="J183" s="2" t="inlineStr">
        <is>
          <t>https://itunes.apple.com/lv/reviews/id312405781</t>
        </is>
      </c>
      <c r="K183" s="2" t="n">
        <v>3</v>
      </c>
    </row>
    <row r="184">
      <c r="A184" s="2" t="inlineStr">
        <is>
          <t>Latvia</t>
        </is>
      </c>
      <c r="B184" s="2" t="inlineStr">
        <is>
          <t>lv</t>
        </is>
      </c>
      <c r="C184" s="2" t="n">
        <v>3</v>
      </c>
      <c r="D184" s="3" t="inlineStr">
        <is>
          <t>Новая бета версия апликации</t>
        </is>
      </c>
      <c r="E184" s="3" t="inlineStr">
        <is>
          <t>Здравствуйте! Участвую в бета тестировании приложения, все круто, но кнопки внизу приложения ужасные, замените на что то более красивое)</t>
        </is>
      </c>
      <c r="F184" s="2" t="inlineStr">
        <is>
          <t>Alexdxc_s</t>
        </is>
      </c>
      <c r="G184" s="2" t="inlineStr">
        <is>
          <t>11.4</t>
        </is>
      </c>
      <c r="H184" s="2" t="inlineStr">
        <is>
          <t>2018-05-23T15:25:13-07:00</t>
        </is>
      </c>
      <c r="I184" s="2" t="inlineStr">
        <is>
          <t>2586972053</t>
        </is>
      </c>
      <c r="J184" s="2" t="inlineStr">
        <is>
          <t>https://itunes.apple.com/lv/reviews/id632944192</t>
        </is>
      </c>
      <c r="K184" s="2" t="n">
        <v>3</v>
      </c>
    </row>
    <row r="185">
      <c r="A185" s="2" t="inlineStr">
        <is>
          <t>Latvia</t>
        </is>
      </c>
      <c r="B185" s="2" t="inlineStr">
        <is>
          <t>lv</t>
        </is>
      </c>
      <c r="C185" s="2" t="n">
        <v>5</v>
      </c>
      <c r="D185" s="3" t="inlineStr">
        <is>
          <t>Everything is fine, but..</t>
        </is>
      </c>
      <c r="E185" s="3" t="inlineStr">
        <is>
          <t>It would be much much better to use Touch-ID or Face-ID rather than PIN.</t>
        </is>
      </c>
      <c r="F185" s="2" t="inlineStr">
        <is>
          <t>Viktor Daskevics</t>
        </is>
      </c>
      <c r="G185" s="2" t="inlineStr">
        <is>
          <t>11.1</t>
        </is>
      </c>
      <c r="H185" s="2" t="inlineStr">
        <is>
          <t>2017-11-09T23:30:34-07:00</t>
        </is>
      </c>
      <c r="I185" s="2" t="inlineStr">
        <is>
          <t>1910209750</t>
        </is>
      </c>
      <c r="J185" s="2" t="inlineStr">
        <is>
          <t>https://itunes.apple.com/lv/reviews/id306228328</t>
        </is>
      </c>
      <c r="K185" s="2" t="n">
        <v>3</v>
      </c>
    </row>
    <row r="186">
      <c r="A186" s="2" t="inlineStr">
        <is>
          <t>Latvia</t>
        </is>
      </c>
      <c r="B186" s="2" t="inlineStr">
        <is>
          <t>lv</t>
        </is>
      </c>
      <c r="C186" s="2" t="n">
        <v>3</v>
      </c>
      <c r="D186" s="3" t="inlineStr">
        <is>
          <t>iPad</t>
        </is>
      </c>
      <c r="E186" s="3" t="inlineStr">
        <is>
          <t>Kad sagaidāma priekš iPad optimizēta versija?</t>
        </is>
      </c>
      <c r="F186" s="2" t="inlineStr">
        <is>
          <t>MacPhisto..</t>
        </is>
      </c>
      <c r="G186" s="2" t="inlineStr">
        <is>
          <t>10.9</t>
        </is>
      </c>
      <c r="H186" s="2" t="inlineStr">
        <is>
          <t>2017-06-15T10:57:34-07:00</t>
        </is>
      </c>
      <c r="I186" s="2" t="inlineStr">
        <is>
          <t>1645483609</t>
        </is>
      </c>
      <c r="J186" s="2" t="inlineStr">
        <is>
          <t>https://itunes.apple.com/lv/reviews/id24310749</t>
        </is>
      </c>
      <c r="K186" s="2" t="n">
        <v>3</v>
      </c>
    </row>
    <row r="187">
      <c r="A187" s="2" t="inlineStr">
        <is>
          <t>Latvia</t>
        </is>
      </c>
      <c r="B187" s="2" t="inlineStr">
        <is>
          <t>lv</t>
        </is>
      </c>
      <c r="C187" s="2" t="n">
        <v>4</v>
      </c>
      <c r="D187" s="3" t="inlineStr">
        <is>
          <t>Widget</t>
        </is>
      </c>
      <c r="E187" s="3" t="inlineStr">
        <is>
          <t>Unable to load
Update: Pēc ātrā atlikuma atslēgšanas un pieslēgšanas atpakaļ widģets sāka darboties kā nākas .</t>
        </is>
      </c>
      <c r="F187" s="2" t="inlineStr">
        <is>
          <t>kadrsLV</t>
        </is>
      </c>
      <c r="G187" s="2" t="inlineStr">
        <is>
          <t>10.9</t>
        </is>
      </c>
      <c r="H187" s="2" t="inlineStr">
        <is>
          <t>2017-06-08T11:13:46-07:00</t>
        </is>
      </c>
      <c r="I187" s="2" t="inlineStr">
        <is>
          <t>1637779518</t>
        </is>
      </c>
      <c r="J187" s="2" t="inlineStr">
        <is>
          <t>https://itunes.apple.com/lv/reviews/id535925055</t>
        </is>
      </c>
      <c r="K187" s="2" t="n">
        <v>3</v>
      </c>
    </row>
    <row r="188">
      <c r="A188" s="2" t="inlineStr">
        <is>
          <t>Latvia</t>
        </is>
      </c>
      <c r="B188" s="2" t="inlineStr">
        <is>
          <t>lv</t>
        </is>
      </c>
      <c r="C188" s="2" t="n">
        <v>2</v>
      </c>
      <c r="D188" s="3" t="inlineStr">
        <is>
          <t>kas te?</t>
        </is>
      </c>
      <c r="E188" s="3" t="inlineStr">
        <is>
          <t>vidzets vel projam nedarbojas ar iphone 7 (iOS 10.3.2)</t>
        </is>
      </c>
      <c r="F188" s="2" t="inlineStr">
        <is>
          <t>xheets</t>
        </is>
      </c>
      <c r="G188" s="2" t="inlineStr">
        <is>
          <t>10.9</t>
        </is>
      </c>
      <c r="H188" s="2" t="inlineStr">
        <is>
          <t>2017-05-27T05:20:09-07:00</t>
        </is>
      </c>
      <c r="I188" s="2" t="inlineStr">
        <is>
          <t>1625696152</t>
        </is>
      </c>
      <c r="J188" s="2" t="inlineStr">
        <is>
          <t>https://itunes.apple.com/lv/reviews/id552699107</t>
        </is>
      </c>
      <c r="K188" s="2" t="n">
        <v>3</v>
      </c>
    </row>
    <row r="189">
      <c r="A189" s="2" t="inlineStr">
        <is>
          <t>Latvia</t>
        </is>
      </c>
      <c r="B189" s="2" t="inlineStr">
        <is>
          <t>lv</t>
        </is>
      </c>
      <c r="C189" s="2" t="n">
        <v>5</v>
      </c>
      <c r="D189" s="3" t="inlineStr">
        <is>
          <t>👍🏻</t>
        </is>
      </c>
      <c r="E189" s="3" t="inlineStr">
        <is>
          <t>Labākā pieejamā mobilā aplikācija šobrīd, bez atsevišķas ierēces, lai ielogotos 👍🏻</t>
        </is>
      </c>
      <c r="F189" s="2" t="inlineStr">
        <is>
          <t>Baiba83</t>
        </is>
      </c>
      <c r="G189" s="2" t="inlineStr">
        <is>
          <t>10.5</t>
        </is>
      </c>
      <c r="H189" s="2" t="inlineStr">
        <is>
          <t>2017-01-21T04:41:11-07:00</t>
        </is>
      </c>
      <c r="I189" s="2" t="inlineStr">
        <is>
          <t>1527217295</t>
        </is>
      </c>
      <c r="J189" s="2" t="inlineStr">
        <is>
          <t>https://itunes.apple.com/lv/reviews/id253411074</t>
        </is>
      </c>
      <c r="K189" s="2" t="n">
        <v>3</v>
      </c>
    </row>
    <row r="190">
      <c r="A190" s="2" t="inlineStr">
        <is>
          <t>Latvia</t>
        </is>
      </c>
      <c r="B190" s="2" t="inlineStr">
        <is>
          <t>lv</t>
        </is>
      </c>
      <c r="C190" s="2" t="n">
        <v>5</v>
      </c>
      <c r="D190" s="3" t="inlineStr">
        <is>
          <t>Izcili</t>
        </is>
      </c>
      <c r="E190" s="3" t="inlineStr">
        <is>
          <t>Labākais internet banking Latvijā, gaidam Touch ID atbalstu :)</t>
        </is>
      </c>
      <c r="F190" s="2" t="inlineStr">
        <is>
          <t>Alohabandora</t>
        </is>
      </c>
      <c r="G190" s="2" t="inlineStr">
        <is>
          <t>10.4</t>
        </is>
      </c>
      <c r="H190" s="2" t="inlineStr">
        <is>
          <t>2017-01-03T23:34:54-07:00</t>
        </is>
      </c>
      <c r="I190" s="2" t="inlineStr">
        <is>
          <t>1515007014</t>
        </is>
      </c>
      <c r="J190" s="2" t="inlineStr">
        <is>
          <t>https://itunes.apple.com/lv/reviews/id318702180</t>
        </is>
      </c>
      <c r="K190" s="2" t="n">
        <v>3</v>
      </c>
    </row>
    <row r="191">
      <c r="A191" s="2" t="inlineStr">
        <is>
          <t>Latvia</t>
        </is>
      </c>
      <c r="B191" s="2" t="inlineStr">
        <is>
          <t>lv</t>
        </is>
      </c>
      <c r="C191" s="2" t="n">
        <v>5</v>
      </c>
      <c r="D191" s="3" t="inlineStr">
        <is>
          <t>Super</t>
        </is>
      </c>
      <c r="E191" s="3" t="inlineStr">
        <is>
          <t>Viss labi strādā</t>
        </is>
      </c>
      <c r="F191" s="2" t="inlineStr">
        <is>
          <t>Shdirieie</t>
        </is>
      </c>
      <c r="G191" s="2" t="inlineStr">
        <is>
          <t>10.2</t>
        </is>
      </c>
      <c r="H191" s="2" t="inlineStr">
        <is>
          <t>2016-12-02T04:24:36-07:00</t>
        </is>
      </c>
      <c r="I191" s="2" t="inlineStr">
        <is>
          <t>1494578312</t>
        </is>
      </c>
      <c r="J191" s="2" t="inlineStr">
        <is>
          <t>https://itunes.apple.com/lv/reviews/id390500416</t>
        </is>
      </c>
      <c r="K191" s="2" t="n">
        <v>3</v>
      </c>
    </row>
    <row r="192">
      <c r="A192" s="2" t="inlineStr">
        <is>
          <t>Latvia</t>
        </is>
      </c>
      <c r="B192" s="2" t="inlineStr">
        <is>
          <t>lv</t>
        </is>
      </c>
      <c r="C192" s="2" t="n">
        <v>2</v>
      </c>
      <c r="D192" s="3" t="inlineStr">
        <is>
          <t>👍🏽👎🏽</t>
        </is>
      </c>
      <c r="E192" s="3" t="inlineStr">
        <is>
          <t>Kapēc nevar saglabat šablonus?</t>
        </is>
      </c>
      <c r="F192" s="2" t="inlineStr">
        <is>
          <t>MusicBoy1313</t>
        </is>
      </c>
      <c r="G192" s="2" t="inlineStr">
        <is>
          <t>9</t>
        </is>
      </c>
      <c r="H192" s="2" t="inlineStr">
        <is>
          <t>2016-05-23T12:07:28-07:00</t>
        </is>
      </c>
      <c r="I192" s="2" t="inlineStr">
        <is>
          <t>1383061280</t>
        </is>
      </c>
      <c r="J192" s="2" t="inlineStr">
        <is>
          <t>https://itunes.apple.com/lv/reviews/id453813081</t>
        </is>
      </c>
      <c r="K192" s="2" t="n">
        <v>3</v>
      </c>
    </row>
    <row r="193">
      <c r="A193" s="2" t="inlineStr">
        <is>
          <t>Latvia</t>
        </is>
      </c>
      <c r="B193" s="2" t="inlineStr">
        <is>
          <t>lv</t>
        </is>
      </c>
      <c r="C193" s="2" t="n">
        <v>5</v>
      </c>
      <c r="D193" s="3" t="inlineStr">
        <is>
          <t>Lieliski!</t>
        </is>
      </c>
      <c r="E193" s="3" t="inlineStr">
        <is>
          <t>Tā turpināt!</t>
        </is>
      </c>
      <c r="F193" s="2" t="inlineStr">
        <is>
          <t>Pjanka</t>
        </is>
      </c>
      <c r="G193" s="2" t="inlineStr">
        <is>
          <t>9</t>
        </is>
      </c>
      <c r="H193" s="2" t="inlineStr">
        <is>
          <t>2016-04-20T12:14:05-07:00</t>
        </is>
      </c>
      <c r="I193" s="2" t="inlineStr">
        <is>
          <t>1366253873</t>
        </is>
      </c>
      <c r="J193" s="2" t="inlineStr">
        <is>
          <t>https://itunes.apple.com/lv/reviews/id87664347</t>
        </is>
      </c>
      <c r="K193" s="2" t="n">
        <v>3</v>
      </c>
    </row>
    <row r="194">
      <c r="A194" s="2" t="inlineStr">
        <is>
          <t>Latvia</t>
        </is>
      </c>
      <c r="B194" s="2" t="inlineStr">
        <is>
          <t>lv</t>
        </is>
      </c>
      <c r="C194" s="2" t="n">
        <v>5</v>
      </c>
      <c r="D194" s="3" t="inlineStr">
        <is>
          <t>lieliski</t>
        </is>
      </c>
      <c r="E194" s="3" t="inlineStr">
        <is>
          <t>ļoti ērta
un kona atlikums bez autorizacijas, super</t>
        </is>
      </c>
      <c r="F194" s="2" t="inlineStr">
        <is>
          <t>reiniiz</t>
        </is>
      </c>
      <c r="G194" s="2" t="inlineStr">
        <is>
          <t>9</t>
        </is>
      </c>
      <c r="H194" s="2" t="inlineStr">
        <is>
          <t>2016-04-20T00:05:12-07:00</t>
        </is>
      </c>
      <c r="I194" s="2" t="inlineStr">
        <is>
          <t>1366022003</t>
        </is>
      </c>
      <c r="J194" s="2" t="inlineStr">
        <is>
          <t>https://itunes.apple.com/lv/reviews/id162755556</t>
        </is>
      </c>
      <c r="K194" s="2" t="n">
        <v>3</v>
      </c>
    </row>
    <row r="195">
      <c r="A195" s="2" t="inlineStr">
        <is>
          <t>Latvia</t>
        </is>
      </c>
      <c r="B195" s="2" t="inlineStr">
        <is>
          <t>lv</t>
        </is>
      </c>
      <c r="C195" s="2" t="n">
        <v>5</v>
      </c>
      <c r="D195" s="3" t="inlineStr">
        <is>
          <t>Спасибо</t>
        </is>
      </c>
      <c r="E195" s="3" t="inlineStr">
        <is>
          <t>Спасибо что заботитесь о своих клиентах!</t>
        </is>
      </c>
      <c r="F195" s="2" t="inlineStr">
        <is>
          <t>Diana.ru</t>
        </is>
      </c>
      <c r="G195" s="2" t="inlineStr">
        <is>
          <t>9</t>
        </is>
      </c>
      <c r="H195" s="2" t="inlineStr">
        <is>
          <t>2016-04-19T22:49:17-07:00</t>
        </is>
      </c>
      <c r="I195" s="2" t="inlineStr">
        <is>
          <t>1365999192</t>
        </is>
      </c>
      <c r="J195" s="2" t="inlineStr">
        <is>
          <t>https://itunes.apple.com/lv/reviews/id226777136</t>
        </is>
      </c>
      <c r="K195" s="2" t="n">
        <v>3</v>
      </c>
    </row>
    <row r="196">
      <c r="A196" s="2" t="inlineStr">
        <is>
          <t>Latvia</t>
        </is>
      </c>
      <c r="B196" s="2" t="inlineStr">
        <is>
          <t>lv</t>
        </is>
      </c>
      <c r="C196" s="2" t="n">
        <v>1</v>
      </c>
      <c r="D196" s="3" t="inlineStr">
        <is>
          <t>Very bad app.</t>
        </is>
      </c>
      <c r="E196" s="3" t="inlineStr">
        <is>
          <t>Opening app-it is in russina language no possibility to change it only when you are logged in you hve this option. And when I was trying to make a payment it didn't allow to scroll down and finish payment. So better use web version.</t>
        </is>
      </c>
      <c r="F196" s="2" t="inlineStr">
        <is>
          <t>Linda-del13</t>
        </is>
      </c>
      <c r="G196" s="2" t="inlineStr">
        <is>
          <t>4.0</t>
        </is>
      </c>
      <c r="H196" s="2" t="inlineStr">
        <is>
          <t>2015-03-08T03:32:04-07:00</t>
        </is>
      </c>
      <c r="I196" s="2" t="inlineStr">
        <is>
          <t>1165152843</t>
        </is>
      </c>
      <c r="J196" s="2" t="inlineStr">
        <is>
          <t>https://itunes.apple.com/lv/reviews/id223231931</t>
        </is>
      </c>
      <c r="K196" s="2" t="n">
        <v>3</v>
      </c>
    </row>
    <row r="197">
      <c r="A197" s="2" t="inlineStr">
        <is>
          <t>Latvia</t>
        </is>
      </c>
      <c r="B197" s="2" t="inlineStr">
        <is>
          <t>lv</t>
        </is>
      </c>
      <c r="C197" s="2" t="n">
        <v>1</v>
      </c>
      <c r="D197" s="3" t="inlineStr">
        <is>
          <t>Когда?</t>
        </is>
      </c>
      <c r="E197" s="3" t="inlineStr">
        <is>
          <t>Ёлы-палы, когда уже разработчики сделают функцию "быстрого остатка"? Как, например, у Swedbank. А цифровую клавиатуру вызвать при запросе ЦИФРОВОГО кода слабо? Очень слабое приложение!</t>
        </is>
      </c>
      <c r="F197" s="2" t="inlineStr">
        <is>
          <t>serfree</t>
        </is>
      </c>
      <c r="G197" s="2" t="inlineStr">
        <is>
          <t>4.0</t>
        </is>
      </c>
      <c r="H197" s="2" t="inlineStr">
        <is>
          <t>2015-02-13T14:25:09-07:00</t>
        </is>
      </c>
      <c r="I197" s="2" t="inlineStr">
        <is>
          <t>1147530416</t>
        </is>
      </c>
      <c r="J197" s="2" t="inlineStr">
        <is>
          <t>https://itunes.apple.com/lv/reviews/id210060829</t>
        </is>
      </c>
      <c r="K197" s="2" t="n">
        <v>3</v>
      </c>
    </row>
    <row r="198">
      <c r="A198" s="2" t="inlineStr">
        <is>
          <t>Latvia</t>
        </is>
      </c>
      <c r="B198" s="2" t="inlineStr">
        <is>
          <t>lv</t>
        </is>
      </c>
      <c r="C198" s="2" t="n">
        <v>3</v>
      </c>
      <c r="D198" s="3" t="inlineStr">
        <is>
          <t>Qiwi</t>
        </is>
      </c>
      <c r="E198" s="3" t="inlineStr">
        <is>
          <t>Nav iespējas veilt maksājumus...</t>
        </is>
      </c>
      <c r="F198" s="2" t="inlineStr">
        <is>
          <t>s.galayev</t>
        </is>
      </c>
      <c r="G198" s="2" t="inlineStr">
        <is>
          <t>3.0</t>
        </is>
      </c>
      <c r="H198" s="2" t="inlineStr">
        <is>
          <t>2014-12-11T23:42:14-07:00</t>
        </is>
      </c>
      <c r="I198" s="2" t="inlineStr">
        <is>
          <t>1111862532</t>
        </is>
      </c>
      <c r="J198" s="2" t="inlineStr">
        <is>
          <t>https://itunes.apple.com/lv/reviews/id142059094</t>
        </is>
      </c>
      <c r="K198" s="2" t="n">
        <v>3</v>
      </c>
    </row>
    <row r="199">
      <c r="A199" s="2" t="inlineStr">
        <is>
          <t>Latvia</t>
        </is>
      </c>
      <c r="B199" s="2" t="inlineStr">
        <is>
          <t>lv</t>
        </is>
      </c>
      <c r="C199" s="2" t="n">
        <v>4</v>
      </c>
      <c r="D199" s="3" t="inlineStr">
        <is>
          <t>Premiumrent.lv</t>
        </is>
      </c>
      <c r="E199" s="3" t="inlineStr">
        <is>
          <t>Удобная в использование!</t>
        </is>
      </c>
      <c r="F199" s="2" t="inlineStr">
        <is>
          <t>premiumrent.lv</t>
        </is>
      </c>
      <c r="G199" s="2" t="inlineStr">
        <is>
          <t>3.0</t>
        </is>
      </c>
      <c r="H199" s="2" t="inlineStr">
        <is>
          <t>2014-11-11T02:17:32-07:00</t>
        </is>
      </c>
      <c r="I199" s="2" t="inlineStr">
        <is>
          <t>1095232549</t>
        </is>
      </c>
      <c r="J199" s="2" t="inlineStr">
        <is>
          <t>https://itunes.apple.com/lv/reviews/id378470830</t>
        </is>
      </c>
      <c r="K199" s="2" t="n">
        <v>3</v>
      </c>
    </row>
    <row r="200">
      <c r="A200" s="2" t="inlineStr">
        <is>
          <t>Latvia</t>
        </is>
      </c>
      <c r="B200" s="2" t="inlineStr">
        <is>
          <t>lv</t>
        </is>
      </c>
      <c r="C200" s="2" t="n">
        <v>5</v>
      </c>
      <c r="D200" s="3" t="inlineStr">
        <is>
          <t>Labs!</t>
        </is>
      </c>
      <c r="E200" s="3" t="inlineStr">
        <is>
          <t>Tagad ta tiesam ir Mobila banka! Loti erta un funkcionala.</t>
        </is>
      </c>
      <c r="F200" s="2" t="inlineStr">
        <is>
          <t>Normunds R</t>
        </is>
      </c>
      <c r="G200" s="2" t="inlineStr">
        <is>
          <t>2.0</t>
        </is>
      </c>
      <c r="H200" s="2" t="inlineStr">
        <is>
          <t>2013-02-05T12:56:53-07:00</t>
        </is>
      </c>
      <c r="I200" s="2" t="inlineStr">
        <is>
          <t>745077954</t>
        </is>
      </c>
      <c r="J200" s="2" t="inlineStr">
        <is>
          <t>https://itunes.apple.com/lv/reviews/id288416864</t>
        </is>
      </c>
      <c r="K200" s="2" t="n">
        <v>3</v>
      </c>
    </row>
    <row r="201">
      <c r="A201" s="2" t="inlineStr">
        <is>
          <t>Latvia</t>
        </is>
      </c>
      <c r="B201" s="2" t="inlineStr">
        <is>
          <t>lv</t>
        </is>
      </c>
      <c r="C201" s="2" t="n">
        <v>5</v>
      </c>
      <c r="D201" s="3" t="inlineStr">
        <is>
          <t>A</t>
        </is>
      </c>
      <c r="E201" s="3" t="inlineStr">
        <is>
          <t>2.0 rules!</t>
        </is>
      </c>
      <c r="F201" s="2" t="inlineStr">
        <is>
          <t>Svires</t>
        </is>
      </c>
      <c r="G201" s="2" t="inlineStr">
        <is>
          <t>2.0</t>
        </is>
      </c>
      <c r="H201" s="2" t="inlineStr">
        <is>
          <t>2013-02-04T11:55:44-07:00</t>
        </is>
      </c>
      <c r="I201" s="2" t="inlineStr">
        <is>
          <t>744326020</t>
        </is>
      </c>
      <c r="J201" s="2" t="inlineStr">
        <is>
          <t>https://itunes.apple.com/lv/reviews/id168350109</t>
        </is>
      </c>
      <c r="K201" s="2" t="n">
        <v>3</v>
      </c>
    </row>
    <row r="202">
      <c r="A202" s="2" t="inlineStr">
        <is>
          <t>Latvia</t>
        </is>
      </c>
      <c r="B202" s="2" t="inlineStr">
        <is>
          <t>lv</t>
        </is>
      </c>
      <c r="C202" s="2" t="n">
        <v>3</v>
      </c>
      <c r="D202" s="3" t="inlineStr">
        <is>
          <t>Forsi</t>
        </is>
      </c>
      <c r="E202" s="3" t="inlineStr">
        <is>
          <t>Kāda jēga no aplikācijas, ja internetbankā ar to ieiet nevar? Viss pārējais ir labi.</t>
        </is>
      </c>
      <c r="F202" s="2" t="inlineStr">
        <is>
          <t>Lopelis</t>
        </is>
      </c>
      <c r="G202" s="2" t="inlineStr">
        <is>
          <t>1.0</t>
        </is>
      </c>
      <c r="H202" s="2" t="inlineStr">
        <is>
          <t>2012-11-06T01:13:01-07:00</t>
        </is>
      </c>
      <c r="I202" s="2" t="inlineStr">
        <is>
          <t>686450024</t>
        </is>
      </c>
      <c r="J202" s="2" t="inlineStr">
        <is>
          <t>https://itunes.apple.com/lv/reviews/id86692157</t>
        </is>
      </c>
      <c r="K202" s="2" t="n">
        <v>3</v>
      </c>
    </row>
    <row r="203">
      <c r="A203" s="2" t="inlineStr">
        <is>
          <t>Latvia</t>
        </is>
      </c>
      <c r="B203" s="2" t="inlineStr">
        <is>
          <t>lv</t>
        </is>
      </c>
      <c r="C203" s="2" t="n">
        <v>5</v>
      </c>
      <c r="D203" s="3" t="inlineStr">
        <is>
          <t>Курсы валют не актуализируются</t>
        </is>
      </c>
      <c r="E203" s="3" t="inlineStr">
        <is>
          <t>Курсы валют не актуализируются, толку нет от такой информации</t>
        </is>
      </c>
      <c r="F203" s="2" t="inlineStr">
        <is>
          <t>Alexxx777</t>
        </is>
      </c>
      <c r="G203" s="2" t="inlineStr">
        <is>
          <t>1.0</t>
        </is>
      </c>
      <c r="H203" s="2" t="inlineStr">
        <is>
          <t>2012-04-28T22:13:08-07:00</t>
        </is>
      </c>
      <c r="I203" s="2" t="inlineStr">
        <is>
          <t>573073991</t>
        </is>
      </c>
      <c r="J203" s="2" t="inlineStr">
        <is>
          <t>https://itunes.apple.com/lv/reviews/id184854201</t>
        </is>
      </c>
      <c r="K203" s="2" t="n">
        <v>4</v>
      </c>
    </row>
    <row r="204">
      <c r="A204" s="2" t="inlineStr">
        <is>
          <t>Latvia</t>
        </is>
      </c>
      <c r="B204" s="2" t="inlineStr">
        <is>
          <t>lv</t>
        </is>
      </c>
      <c r="C204" s="2" t="n">
        <v>5</v>
      </c>
      <c r="D204" s="3" t="inlineStr">
        <is>
          <t>MK</t>
        </is>
      </c>
      <c r="E204" s="3" t="inlineStr">
        <is>
          <t>Программа класс, надо иметь каждому у кого счет в этом банке</t>
        </is>
      </c>
      <c r="F204" s="2" t="inlineStr">
        <is>
          <t>Maklim</t>
        </is>
      </c>
      <c r="G204" s="2" t="inlineStr">
        <is>
          <t>1.0</t>
        </is>
      </c>
      <c r="H204" s="2" t="inlineStr">
        <is>
          <t>2012-04-16T05:08:10-07:00</t>
        </is>
      </c>
      <c r="I204" s="2" t="inlineStr">
        <is>
          <t>564940384</t>
        </is>
      </c>
      <c r="J204" s="2" t="inlineStr">
        <is>
          <t>https://itunes.apple.com/lv/reviews/id230838062</t>
        </is>
      </c>
      <c r="K204" s="2" t="n">
        <v>4</v>
      </c>
    </row>
  </sheetData>
  <autoFilter ref="A1:K20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8" customWidth="1" min="4" max="4"/>
    <col width="8" customWidth="1" min="5" max="5"/>
    <col width="8" customWidth="1" min="6" max="6"/>
    <col width="8" customWidth="1" min="7" max="7"/>
    <col width="8" customWidth="1" min="8" max="8"/>
  </cols>
  <sheetData>
    <row r="1">
      <c r="A1" s="4" t="inlineStr">
        <is>
          <t>Country</t>
        </is>
      </c>
      <c r="B1" s="4" t="inlineStr">
        <is>
          <t>Reviews fetched</t>
        </is>
      </c>
      <c r="C1" s="4" t="inlineStr">
        <is>
          <t>Avg rating (formula)</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IFERROR(AVERAGEIF(Reviews!A:A,A2,Reviews!C:C),0)</f>
        <v/>
      </c>
      <c r="D2">
        <f>COUNTIFS(Reviews!A:A,A2,Reviews!C:C,5)</f>
        <v/>
      </c>
      <c r="E2">
        <f>COUNTIFS(Reviews!A:A,A2,Reviews!C:C,4)</f>
        <v/>
      </c>
      <c r="F2">
        <f>COUNTIFS(Reviews!A:A,A2,Reviews!C:C,3)</f>
        <v/>
      </c>
      <c r="G2">
        <f>COUNTIFS(Reviews!A:A,A2,Reviews!C:C,2)</f>
        <v/>
      </c>
      <c r="H2">
        <f>COUNTIFS(Reviews!A:A,A2,Reviews!C:C,1)</f>
        <v/>
      </c>
    </row>
    <row r="3">
      <c r="A3" t="inlineStr">
        <is>
          <t>Lithuania</t>
        </is>
      </c>
      <c r="B3">
        <f>COUNTIF(Reviews!A:A,A3)</f>
        <v/>
      </c>
      <c r="C3" s="5">
        <f>IFERROR(AVERAGEIF(Reviews!A:A,A3,Reviews!C:C),0)</f>
        <v/>
      </c>
      <c r="D3">
        <f>COUNTIFS(Reviews!A:A,A3,Reviews!C:C,5)</f>
        <v/>
      </c>
      <c r="E3">
        <f>COUNTIFS(Reviews!A:A,A3,Reviews!C:C,4)</f>
        <v/>
      </c>
      <c r="F3">
        <f>COUNTIFS(Reviews!A:A,A3,Reviews!C:C,3)</f>
        <v/>
      </c>
      <c r="G3">
        <f>COUNTIFS(Reviews!A:A,A3,Reviews!C:C,2)</f>
        <v/>
      </c>
      <c r="H3">
        <f>COUNTIFS(Reviews!A:A,A3,Reviews!C:C,1)</f>
        <v/>
      </c>
    </row>
    <row r="4">
      <c r="A4" t="inlineStr">
        <is>
          <t>Latvia</t>
        </is>
      </c>
      <c r="B4">
        <f>COUNTIF(Reviews!A:A,A4)</f>
        <v/>
      </c>
      <c r="C4" s="5">
        <f>IFERROR(AVERAGEIF(Reviews!A:A,A4,Reviews!C:C),0)</f>
        <v/>
      </c>
      <c r="D4">
        <f>COUNTIFS(Reviews!A:A,A4,Reviews!C:C,5)</f>
        <v/>
      </c>
      <c r="E4">
        <f>COUNTIFS(Reviews!A:A,A4,Reviews!C:C,4)</f>
        <v/>
      </c>
      <c r="F4">
        <f>COUNTIFS(Reviews!A:A,A4,Reviews!C:C,3)</f>
        <v/>
      </c>
      <c r="G4">
        <f>COUNTIFS(Reviews!A:A,A4,Reviews!C:C,2)</f>
        <v/>
      </c>
      <c r="H4">
        <f>COUNTIFS(Reviews!A:A,A4,Reviews!C:C,1)</f>
        <v/>
      </c>
    </row>
    <row r="5">
      <c r="A5" s="6" t="inlineStr">
        <is>
          <t>TOTAL</t>
        </is>
      </c>
      <c r="B5" s="6">
        <f>SUM(B2:B4)</f>
        <v/>
      </c>
      <c r="C5" s="7">
        <f>IFERROR(AVERAGE(Reviews!C2:C204),0)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2026-10-26T12:11:23Z</dcterms:created>
  <dcterms:modified xsi:type="dcterms:W3CDTF">2026-10-26T12:11:23Z</dcterms:modified>
</cp:coreProperties>
</file>